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itk/Downloads/Costing Dec24/"/>
    </mc:Choice>
  </mc:AlternateContent>
  <xr:revisionPtr revIDLastSave="0" documentId="8_{11C73689-9DD3-E74D-BFAE-DAEDD4DEAB97}" xr6:coauthVersionLast="47" xr6:coauthVersionMax="47" xr10:uidLastSave="{00000000-0000-0000-0000-000000000000}"/>
  <bookViews>
    <workbookView xWindow="0" yWindow="600" windowWidth="28800" windowHeight="17500" activeTab="1" xr2:uid="{554B0958-542F-47BF-83F5-E5E5CE0E225A}"/>
  </bookViews>
  <sheets>
    <sheet name="Raipur" sheetId="1" r:id="rId1"/>
    <sheet name="NCR" sheetId="7" r:id="rId2"/>
    <sheet name="Raipur NCR (29 Oct)" sheetId="6" r:id="rId3"/>
    <sheet name="Sheet1" sheetId="5" r:id="rId4"/>
    <sheet name="DGP" sheetId="4" r:id="rId5"/>
    <sheet name="Sheet2" sheetId="3" r:id="rId6"/>
    <sheet name="Steel Mint Inputs" sheetId="2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7" l="1"/>
  <c r="F30" i="7"/>
  <c r="F26" i="7"/>
  <c r="F25" i="7"/>
  <c r="F24" i="7"/>
  <c r="F23" i="7"/>
  <c r="H16" i="7"/>
  <c r="C15" i="7"/>
  <c r="B15" i="7"/>
  <c r="H14" i="7"/>
  <c r="E14" i="7"/>
  <c r="H13" i="7"/>
  <c r="E13" i="7"/>
  <c r="H12" i="7"/>
  <c r="E12" i="7"/>
  <c r="D11" i="7"/>
  <c r="E11" i="7" s="1"/>
  <c r="G11" i="7" s="1"/>
  <c r="H11" i="7" s="1"/>
  <c r="D10" i="7"/>
  <c r="E10" i="7" s="1"/>
  <c r="G10" i="7" s="1"/>
  <c r="H10" i="7" s="1"/>
  <c r="D9" i="7"/>
  <c r="E9" i="7" s="1"/>
  <c r="G9" i="7" s="1"/>
  <c r="H9" i="7" s="1"/>
  <c r="D8" i="7"/>
  <c r="E8" i="7" s="1"/>
  <c r="G8" i="7" s="1"/>
  <c r="H8" i="7" s="1"/>
  <c r="D7" i="7"/>
  <c r="E7" i="7" s="1"/>
  <c r="G7" i="7" s="1"/>
  <c r="H7" i="7" s="1"/>
  <c r="S16" i="6"/>
  <c r="O9" i="6"/>
  <c r="H62" i="6"/>
  <c r="Q58" i="6"/>
  <c r="U54" i="6"/>
  <c r="L54" i="6"/>
  <c r="U51" i="6"/>
  <c r="Q51" i="6"/>
  <c r="L51" i="6"/>
  <c r="F51" i="6"/>
  <c r="AE50" i="6"/>
  <c r="AA50" i="6"/>
  <c r="U50" i="6"/>
  <c r="Q50" i="6"/>
  <c r="L50" i="6"/>
  <c r="F50" i="6"/>
  <c r="AE46" i="6"/>
  <c r="AA46" i="6"/>
  <c r="U46" i="6"/>
  <c r="Q46" i="6"/>
  <c r="L46" i="6"/>
  <c r="F46" i="6"/>
  <c r="AE45" i="6"/>
  <c r="AA45" i="6"/>
  <c r="U45" i="6"/>
  <c r="Q45" i="6"/>
  <c r="L45" i="6"/>
  <c r="F45" i="6"/>
  <c r="AE44" i="6"/>
  <c r="AA44" i="6"/>
  <c r="U44" i="6"/>
  <c r="Q44" i="6"/>
  <c r="L44" i="6"/>
  <c r="F44" i="6"/>
  <c r="AE43" i="6"/>
  <c r="AA43" i="6"/>
  <c r="U43" i="6"/>
  <c r="Q43" i="6"/>
  <c r="L43" i="6"/>
  <c r="F43" i="6"/>
  <c r="F33" i="6"/>
  <c r="B32" i="6"/>
  <c r="M32" i="6" s="1"/>
  <c r="AA31" i="6"/>
  <c r="P31" i="6"/>
  <c r="Q31" i="6" s="1"/>
  <c r="F31" i="6"/>
  <c r="E31" i="6"/>
  <c r="AA30" i="6"/>
  <c r="P30" i="6"/>
  <c r="Q30" i="6" s="1"/>
  <c r="E30" i="6"/>
  <c r="F30" i="6" s="1"/>
  <c r="AA29" i="6"/>
  <c r="Q29" i="6"/>
  <c r="P29" i="6"/>
  <c r="E29" i="6"/>
  <c r="F29" i="6" s="1"/>
  <c r="AA28" i="6"/>
  <c r="E28" i="6"/>
  <c r="F28" i="6" s="1"/>
  <c r="C28" i="6"/>
  <c r="AA27" i="6"/>
  <c r="E27" i="6"/>
  <c r="F27" i="6" s="1"/>
  <c r="X26" i="6"/>
  <c r="AA26" i="6" s="1"/>
  <c r="E26" i="6"/>
  <c r="F26" i="6" s="1"/>
  <c r="C26" i="6"/>
  <c r="X25" i="6"/>
  <c r="AA25" i="6" s="1"/>
  <c r="E25" i="6"/>
  <c r="F25" i="6" s="1"/>
  <c r="C25" i="6"/>
  <c r="X24" i="6"/>
  <c r="AA24" i="6" s="1"/>
  <c r="AA32" i="6" s="1"/>
  <c r="AA34" i="6" s="1"/>
  <c r="P24" i="6"/>
  <c r="Q24" i="6" s="1"/>
  <c r="E24" i="6"/>
  <c r="F24" i="6" s="1"/>
  <c r="C24" i="6"/>
  <c r="M15" i="6"/>
  <c r="AC14" i="6"/>
  <c r="Z14" i="6"/>
  <c r="S14" i="6"/>
  <c r="P14" i="6"/>
  <c r="F14" i="6"/>
  <c r="AC13" i="6"/>
  <c r="Z13" i="6"/>
  <c r="S13" i="6"/>
  <c r="P13" i="6"/>
  <c r="F13" i="6"/>
  <c r="AC12" i="6"/>
  <c r="Z12" i="6"/>
  <c r="S12" i="6"/>
  <c r="P12" i="6"/>
  <c r="I12" i="6"/>
  <c r="F12" i="6"/>
  <c r="Z11" i="6"/>
  <c r="AB11" i="6" s="1"/>
  <c r="AC11" i="6" s="1"/>
  <c r="O11" i="6"/>
  <c r="P11" i="6" s="1"/>
  <c r="R11" i="6" s="1"/>
  <c r="S11" i="6" s="1"/>
  <c r="F11" i="6"/>
  <c r="H11" i="6" s="1"/>
  <c r="I11" i="6" s="1"/>
  <c r="Z10" i="6"/>
  <c r="AB10" i="6" s="1"/>
  <c r="AC10" i="6" s="1"/>
  <c r="O10" i="6"/>
  <c r="P10" i="6" s="1"/>
  <c r="R10" i="6" s="1"/>
  <c r="S10" i="6" s="1"/>
  <c r="F10" i="6"/>
  <c r="H10" i="6" s="1"/>
  <c r="I10" i="6" s="1"/>
  <c r="Z9" i="6"/>
  <c r="AB9" i="6" s="1"/>
  <c r="AC9" i="6" s="1"/>
  <c r="P26" i="6"/>
  <c r="Q26" i="6" s="1"/>
  <c r="F9" i="6"/>
  <c r="H9" i="6" s="1"/>
  <c r="I9" i="6" s="1"/>
  <c r="Z8" i="6"/>
  <c r="AB8" i="6" s="1"/>
  <c r="AC8" i="6" s="1"/>
  <c r="O8" i="6"/>
  <c r="P25" i="6" s="1"/>
  <c r="Q25" i="6" s="1"/>
  <c r="F8" i="6"/>
  <c r="H8" i="6" s="1"/>
  <c r="I8" i="6" s="1"/>
  <c r="Z7" i="6"/>
  <c r="AB7" i="6" s="1"/>
  <c r="AC7" i="6" s="1"/>
  <c r="O7" i="6"/>
  <c r="P7" i="6" s="1"/>
  <c r="R7" i="6" s="1"/>
  <c r="S7" i="6" s="1"/>
  <c r="J7" i="6"/>
  <c r="F7" i="6"/>
  <c r="H7" i="6" s="1"/>
  <c r="I7" i="6" s="1"/>
  <c r="H15" i="7" l="1"/>
  <c r="P28" i="6"/>
  <c r="Q28" i="6" s="1"/>
  <c r="AC15" i="6"/>
  <c r="I15" i="6"/>
  <c r="F32" i="6"/>
  <c r="U41" i="6"/>
  <c r="Q41" i="6"/>
  <c r="P9" i="6"/>
  <c r="R9" i="6" s="1"/>
  <c r="S9" i="6" s="1"/>
  <c r="P27" i="6"/>
  <c r="Q27" i="6" s="1"/>
  <c r="Q32" i="6" s="1"/>
  <c r="Q34" i="6" s="1"/>
  <c r="P8" i="6"/>
  <c r="R8" i="6" s="1"/>
  <c r="S8" i="6" s="1"/>
  <c r="S15" i="6" s="1"/>
  <c r="E22" i="7" l="1"/>
  <c r="F22" i="7" s="1"/>
  <c r="F21" i="7"/>
  <c r="H17" i="7"/>
  <c r="P42" i="6"/>
  <c r="S17" i="6"/>
  <c r="L41" i="6"/>
  <c r="F41" i="6"/>
  <c r="F34" i="6"/>
  <c r="E42" i="6"/>
  <c r="I17" i="6"/>
  <c r="AC17" i="6"/>
  <c r="Z42" i="6"/>
  <c r="E27" i="7" l="1"/>
  <c r="F27" i="7" s="1"/>
  <c r="E29" i="7"/>
  <c r="F29" i="7" s="1"/>
  <c r="F28" i="7"/>
  <c r="F33" i="7" s="1"/>
  <c r="F35" i="7" s="1"/>
  <c r="AD42" i="6"/>
  <c r="AA42" i="6"/>
  <c r="Z49" i="6"/>
  <c r="F42" i="6"/>
  <c r="I42" i="6"/>
  <c r="L42" i="6" s="1"/>
  <c r="I47" i="6" s="1"/>
  <c r="L47" i="6" s="1"/>
  <c r="I49" i="6" s="1"/>
  <c r="L49" i="6" s="1"/>
  <c r="Q42" i="6"/>
  <c r="T42" i="6"/>
  <c r="U42" i="6" s="1"/>
  <c r="E10" i="4"/>
  <c r="E27" i="4" s="1"/>
  <c r="F27" i="4" s="1"/>
  <c r="O52" i="4"/>
  <c r="O54" i="4"/>
  <c r="M7" i="4"/>
  <c r="M8" i="4"/>
  <c r="M9" i="4"/>
  <c r="M10" i="4"/>
  <c r="M11" i="4"/>
  <c r="M12" i="4"/>
  <c r="N12" i="4"/>
  <c r="M13" i="4"/>
  <c r="N13" i="4"/>
  <c r="O13" i="4"/>
  <c r="M14" i="4"/>
  <c r="N14" i="4"/>
  <c r="O14" i="4"/>
  <c r="K8" i="4"/>
  <c r="K9" i="4"/>
  <c r="K11" i="4"/>
  <c r="K12" i="4"/>
  <c r="K13" i="4"/>
  <c r="K14" i="4"/>
  <c r="K7" i="4"/>
  <c r="F33" i="4"/>
  <c r="B15" i="4"/>
  <c r="B32" i="4" s="1"/>
  <c r="H62" i="4"/>
  <c r="J60" i="4"/>
  <c r="F58" i="4"/>
  <c r="J54" i="4"/>
  <c r="J51" i="4"/>
  <c r="F51" i="4"/>
  <c r="J50" i="4"/>
  <c r="F50" i="4"/>
  <c r="J46" i="4"/>
  <c r="F46" i="4"/>
  <c r="J45" i="4"/>
  <c r="F45" i="4"/>
  <c r="J44" i="4"/>
  <c r="F44" i="4"/>
  <c r="J43" i="4"/>
  <c r="F43" i="4"/>
  <c r="E31" i="4"/>
  <c r="F31" i="4" s="1"/>
  <c r="E30" i="4"/>
  <c r="F30" i="4" s="1"/>
  <c r="E29" i="4"/>
  <c r="F29" i="4" s="1"/>
  <c r="E28" i="4"/>
  <c r="F28" i="4" s="1"/>
  <c r="C28" i="4"/>
  <c r="E26" i="4"/>
  <c r="F26" i="4" s="1"/>
  <c r="C26" i="4"/>
  <c r="E25" i="4"/>
  <c r="F25" i="4" s="1"/>
  <c r="C25" i="4"/>
  <c r="E24" i="4"/>
  <c r="F24" i="4" s="1"/>
  <c r="C24" i="4"/>
  <c r="F14" i="4"/>
  <c r="F13" i="4"/>
  <c r="I12" i="4"/>
  <c r="F12" i="4"/>
  <c r="F11" i="4"/>
  <c r="H11" i="4" s="1"/>
  <c r="I11" i="4" s="1"/>
  <c r="F9" i="4"/>
  <c r="H9" i="4" s="1"/>
  <c r="I9" i="4" s="1"/>
  <c r="F8" i="4"/>
  <c r="H8" i="4" s="1"/>
  <c r="I8" i="4" s="1"/>
  <c r="F7" i="4"/>
  <c r="H7" i="4" s="1"/>
  <c r="I7" i="4" s="1"/>
  <c r="F10" i="4" l="1"/>
  <c r="H10" i="4" s="1"/>
  <c r="I10" i="4" s="1"/>
  <c r="AE42" i="6"/>
  <c r="AD49" i="6"/>
  <c r="T47" i="6"/>
  <c r="U47" i="6" s="1"/>
  <c r="U48" i="6" s="1"/>
  <c r="U53" i="6" s="1"/>
  <c r="U55" i="6" s="1"/>
  <c r="P47" i="6"/>
  <c r="AA49" i="6"/>
  <c r="Z47" i="6" s="1"/>
  <c r="AA47" i="6" s="1"/>
  <c r="L48" i="6"/>
  <c r="L53" i="6" s="1"/>
  <c r="L55" i="6" s="1"/>
  <c r="E47" i="6"/>
  <c r="F47" i="6" s="1"/>
  <c r="E49" i="6" s="1"/>
  <c r="F49" i="6" s="1"/>
  <c r="K10" i="4"/>
  <c r="F32" i="4"/>
  <c r="I15" i="4"/>
  <c r="F10" i="1"/>
  <c r="L10" i="4" s="1"/>
  <c r="M11" i="2"/>
  <c r="M7" i="2"/>
  <c r="M8" i="2"/>
  <c r="Q47" i="6" l="1"/>
  <c r="P49" i="6" s="1"/>
  <c r="Q48" i="6"/>
  <c r="Q53" i="6" s="1"/>
  <c r="Q57" i="6" s="1"/>
  <c r="F48" i="6"/>
  <c r="F53" i="6" s="1"/>
  <c r="F55" i="6" s="1"/>
  <c r="T49" i="6"/>
  <c r="U49" i="6" s="1"/>
  <c r="AE49" i="6"/>
  <c r="AD47" i="6" s="1"/>
  <c r="AE47" i="6" s="1"/>
  <c r="J41" i="4"/>
  <c r="F41" i="4"/>
  <c r="I17" i="4"/>
  <c r="E42" i="4"/>
  <c r="F34" i="4"/>
  <c r="H28" i="2"/>
  <c r="H26" i="2"/>
  <c r="H24" i="2"/>
  <c r="Q55" i="6" l="1"/>
  <c r="Q49" i="6"/>
  <c r="F42" i="4"/>
  <c r="I42" i="4"/>
  <c r="J42" i="4" s="1"/>
  <c r="I47" i="4" s="1"/>
  <c r="J47" i="4" s="1"/>
  <c r="L28" i="2"/>
  <c r="L26" i="2"/>
  <c r="L24" i="2"/>
  <c r="S41" i="2"/>
  <c r="Q59" i="6" l="1"/>
  <c r="J48" i="4"/>
  <c r="J53" i="4" s="1"/>
  <c r="J55" i="4" s="1"/>
  <c r="I49" i="4"/>
  <c r="J49" i="4" s="1"/>
  <c r="E47" i="4"/>
  <c r="F47" i="4" s="1"/>
  <c r="F48" i="4" s="1"/>
  <c r="F53" i="4" s="1"/>
  <c r="G24" i="2"/>
  <c r="S50" i="2"/>
  <c r="O50" i="2"/>
  <c r="J50" i="2"/>
  <c r="F50" i="2"/>
  <c r="AC49" i="2"/>
  <c r="Y49" i="2"/>
  <c r="S49" i="2"/>
  <c r="O49" i="2"/>
  <c r="J49" i="2"/>
  <c r="F49" i="2"/>
  <c r="AC46" i="2"/>
  <c r="Y46" i="2"/>
  <c r="S46" i="2"/>
  <c r="O46" i="2"/>
  <c r="J46" i="2"/>
  <c r="F46" i="2"/>
  <c r="AC45" i="2"/>
  <c r="Y45" i="2"/>
  <c r="S45" i="2"/>
  <c r="O45" i="2"/>
  <c r="J45" i="2"/>
  <c r="F45" i="2"/>
  <c r="AC44" i="2"/>
  <c r="Y44" i="2"/>
  <c r="S44" i="2"/>
  <c r="O44" i="2"/>
  <c r="J44" i="2"/>
  <c r="F44" i="2"/>
  <c r="AC43" i="2"/>
  <c r="Y43" i="2"/>
  <c r="S43" i="2"/>
  <c r="O43" i="2"/>
  <c r="J43" i="2"/>
  <c r="F43" i="2"/>
  <c r="O41" i="2"/>
  <c r="Y31" i="2"/>
  <c r="O31" i="2"/>
  <c r="F31" i="2"/>
  <c r="Y30" i="2"/>
  <c r="O30" i="2"/>
  <c r="F30" i="2"/>
  <c r="Y29" i="2"/>
  <c r="O29" i="2"/>
  <c r="F29" i="2"/>
  <c r="Y28" i="2"/>
  <c r="O28" i="2"/>
  <c r="G28" i="2"/>
  <c r="F28" i="2"/>
  <c r="Y27" i="2"/>
  <c r="O27" i="2"/>
  <c r="F27" i="2"/>
  <c r="V26" i="2"/>
  <c r="Y26" i="2" s="1"/>
  <c r="O26" i="2"/>
  <c r="G26" i="2"/>
  <c r="F26" i="2"/>
  <c r="V25" i="2"/>
  <c r="Y25" i="2" s="1"/>
  <c r="O25" i="2"/>
  <c r="G25" i="2"/>
  <c r="C25" i="2"/>
  <c r="F25" i="2" s="1"/>
  <c r="V24" i="2"/>
  <c r="Y24" i="2" s="1"/>
  <c r="O24" i="2"/>
  <c r="F24" i="2"/>
  <c r="AA14" i="2"/>
  <c r="X14" i="2"/>
  <c r="Q14" i="2"/>
  <c r="N14" i="2"/>
  <c r="F14" i="2"/>
  <c r="AA13" i="2"/>
  <c r="X13" i="2"/>
  <c r="Q13" i="2"/>
  <c r="N13" i="2"/>
  <c r="F13" i="2"/>
  <c r="AA12" i="2"/>
  <c r="X12" i="2"/>
  <c r="Q12" i="2"/>
  <c r="N12" i="2"/>
  <c r="I12" i="2"/>
  <c r="F12" i="2"/>
  <c r="X11" i="2"/>
  <c r="Z11" i="2" s="1"/>
  <c r="AA11" i="2" s="1"/>
  <c r="N11" i="2"/>
  <c r="P11" i="2" s="1"/>
  <c r="Q11" i="2" s="1"/>
  <c r="J11" i="2"/>
  <c r="F11" i="2"/>
  <c r="H11" i="2" s="1"/>
  <c r="I11" i="2" s="1"/>
  <c r="X10" i="2"/>
  <c r="Z10" i="2" s="1"/>
  <c r="AA10" i="2" s="1"/>
  <c r="N10" i="2"/>
  <c r="P10" i="2" s="1"/>
  <c r="Q10" i="2" s="1"/>
  <c r="F10" i="2"/>
  <c r="H10" i="2" s="1"/>
  <c r="I10" i="2" s="1"/>
  <c r="X9" i="2"/>
  <c r="Z9" i="2" s="1"/>
  <c r="AA9" i="2" s="1"/>
  <c r="N9" i="2"/>
  <c r="P9" i="2" s="1"/>
  <c r="Q9" i="2" s="1"/>
  <c r="J9" i="2"/>
  <c r="F9" i="2"/>
  <c r="H9" i="2" s="1"/>
  <c r="I9" i="2" s="1"/>
  <c r="X8" i="2"/>
  <c r="Z8" i="2" s="1"/>
  <c r="AA8" i="2" s="1"/>
  <c r="N8" i="2"/>
  <c r="P8" i="2" s="1"/>
  <c r="Q8" i="2" s="1"/>
  <c r="J8" i="2"/>
  <c r="F8" i="2"/>
  <c r="H8" i="2" s="1"/>
  <c r="I8" i="2" s="1"/>
  <c r="X7" i="2"/>
  <c r="Z7" i="2" s="1"/>
  <c r="AA7" i="2" s="1"/>
  <c r="N7" i="2"/>
  <c r="P7" i="2" s="1"/>
  <c r="Q7" i="2" s="1"/>
  <c r="J7" i="2"/>
  <c r="F7" i="2"/>
  <c r="H7" i="2" s="1"/>
  <c r="I7" i="2" s="1"/>
  <c r="D1" i="2"/>
  <c r="E49" i="4" l="1"/>
  <c r="F49" i="4" s="1"/>
  <c r="F55" i="4"/>
  <c r="F59" i="4" s="1"/>
  <c r="F57" i="4"/>
  <c r="Y32" i="2"/>
  <c r="Y34" i="2" s="1"/>
  <c r="O32" i="2"/>
  <c r="O34" i="2" s="1"/>
  <c r="AA15" i="2"/>
  <c r="I15" i="2"/>
  <c r="Q15" i="2"/>
  <c r="F32" i="2"/>
  <c r="J41" i="2" l="1"/>
  <c r="F41" i="2"/>
  <c r="AA17" i="2"/>
  <c r="X42" i="2"/>
  <c r="N42" i="2"/>
  <c r="Q17" i="2"/>
  <c r="E42" i="2"/>
  <c r="I17" i="2"/>
  <c r="F34" i="2"/>
  <c r="F31" i="1"/>
  <c r="O51" i="4" l="1"/>
  <c r="R42" i="2"/>
  <c r="S42" i="2" s="1"/>
  <c r="O42" i="2"/>
  <c r="AB42" i="2"/>
  <c r="Y42" i="2"/>
  <c r="X48" i="2" s="1"/>
  <c r="F42" i="2"/>
  <c r="I42" i="2"/>
  <c r="J42" i="2" s="1"/>
  <c r="F30" i="1"/>
  <c r="O50" i="4" l="1"/>
  <c r="Y48" i="2"/>
  <c r="X47" i="2" s="1"/>
  <c r="Y47" i="2" s="1"/>
  <c r="Y51" i="2" s="1"/>
  <c r="R47" i="2"/>
  <c r="S47" i="2" s="1"/>
  <c r="AC42" i="2"/>
  <c r="AB48" i="2"/>
  <c r="N47" i="2"/>
  <c r="O47" i="2" s="1"/>
  <c r="E47" i="2"/>
  <c r="F47" i="2" s="1"/>
  <c r="I47" i="2"/>
  <c r="J47" i="2" s="1"/>
  <c r="F26" i="1"/>
  <c r="F25" i="1"/>
  <c r="F24" i="1"/>
  <c r="F13" i="1"/>
  <c r="L13" i="4" s="1"/>
  <c r="F23" i="1"/>
  <c r="F14" i="1"/>
  <c r="L14" i="4" s="1"/>
  <c r="F12" i="1"/>
  <c r="L12" i="4" s="1"/>
  <c r="F11" i="1"/>
  <c r="H10" i="1"/>
  <c r="F9" i="1"/>
  <c r="F8" i="1"/>
  <c r="F7" i="1"/>
  <c r="I12" i="1"/>
  <c r="O12" i="4" s="1"/>
  <c r="O46" i="4" l="1"/>
  <c r="O44" i="4"/>
  <c r="O45" i="4"/>
  <c r="O43" i="4"/>
  <c r="H11" i="1"/>
  <c r="L11" i="4"/>
  <c r="I10" i="1"/>
  <c r="N10" i="4"/>
  <c r="H9" i="1"/>
  <c r="L9" i="4"/>
  <c r="H8" i="1"/>
  <c r="L8" i="4"/>
  <c r="H7" i="1"/>
  <c r="L7" i="4"/>
  <c r="N48" i="2"/>
  <c r="O48" i="2" s="1"/>
  <c r="O51" i="2" s="1"/>
  <c r="O53" i="2" s="1"/>
  <c r="E48" i="2"/>
  <c r="F48" i="2" s="1"/>
  <c r="F51" i="2" s="1"/>
  <c r="F53" i="2" s="1"/>
  <c r="F55" i="2" s="1"/>
  <c r="F56" i="2" s="1"/>
  <c r="I48" i="2"/>
  <c r="J48" i="2" s="1"/>
  <c r="J51" i="2" s="1"/>
  <c r="J53" i="2" s="1"/>
  <c r="J55" i="2" s="1"/>
  <c r="J56" i="2" s="1"/>
  <c r="R48" i="2"/>
  <c r="S48" i="2" s="1"/>
  <c r="S51" i="2" s="1"/>
  <c r="S53" i="2" s="1"/>
  <c r="AC48" i="2"/>
  <c r="AB47" i="2" s="1"/>
  <c r="AC47" i="2" s="1"/>
  <c r="AC51" i="2" s="1"/>
  <c r="O10" i="4" l="1"/>
  <c r="I11" i="1"/>
  <c r="N11" i="4"/>
  <c r="I9" i="1"/>
  <c r="N9" i="4"/>
  <c r="I8" i="1"/>
  <c r="N8" i="4"/>
  <c r="I7" i="1"/>
  <c r="N7" i="4"/>
  <c r="O8" i="4" l="1"/>
  <c r="O9" i="4"/>
  <c r="O11" i="4"/>
  <c r="O7" i="4"/>
  <c r="I15" i="1"/>
  <c r="F21" i="1" l="1"/>
  <c r="O15" i="4"/>
  <c r="I17" i="1"/>
  <c r="E22" i="1"/>
  <c r="O41" i="4" l="1"/>
  <c r="F22" i="1"/>
  <c r="E27" i="1" l="1"/>
  <c r="F27" i="1" s="1"/>
  <c r="O42" i="4"/>
  <c r="O55" i="2"/>
  <c r="O56" i="2" s="1"/>
  <c r="S55" i="2"/>
  <c r="S56" i="2" s="1"/>
  <c r="Y53" i="2"/>
  <c r="Y55" i="2" s="1"/>
  <c r="Y56" i="2" s="1"/>
  <c r="AC53" i="2"/>
  <c r="AC55" i="2" s="1"/>
  <c r="AC56" i="2" s="1"/>
  <c r="O47" i="4" l="1"/>
  <c r="F28" i="1"/>
  <c r="E29" i="1"/>
  <c r="F29" i="1" s="1"/>
  <c r="O49" i="4" l="1"/>
  <c r="F33" i="1"/>
  <c r="O48" i="4"/>
  <c r="O53" i="4" l="1"/>
  <c r="F35" i="1"/>
  <c r="O55" i="4" l="1"/>
  <c r="AA55" i="6" l="1"/>
  <c r="AA53" i="6"/>
  <c r="AA48" i="6"/>
  <c r="AE55" i="6"/>
  <c r="AE53" i="6"/>
  <c r="AE4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K</author>
  </authors>
  <commentList>
    <comment ref="B10" authorId="0" shapeId="0" xr:uid="{0AEAE16A-1435-A34B-872A-46824D8591B5}">
      <text>
        <r>
          <rPr>
            <b/>
            <sz val="10"/>
            <color rgb="FF000000"/>
            <rFont val="Tahoma"/>
            <family val="2"/>
          </rPr>
          <t>Sumit 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25-150 mm, HC 60-14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K</author>
  </authors>
  <commentList>
    <comment ref="A10" authorId="0" shapeId="0" xr:uid="{9E762A37-D3F1-514A-A53C-CD9C78C7C692}">
      <text>
        <r>
          <rPr>
            <b/>
            <sz val="10"/>
            <color rgb="FF000000"/>
            <rFont val="Tahoma"/>
            <family val="2"/>
          </rPr>
          <t>Sumit 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25-150 mm, HC 60-14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K</author>
  </authors>
  <commentList>
    <comment ref="B10" authorId="0" shapeId="0" xr:uid="{343E83FC-7038-704E-835E-5D58F263F037}">
      <text>
        <r>
          <rPr>
            <b/>
            <sz val="10"/>
            <color rgb="FF000000"/>
            <rFont val="Tahoma"/>
            <family val="2"/>
          </rPr>
          <t>Sumit 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25-150 mm, HC 60-14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Kunal Atul Jani</author>
  </authors>
  <commentList>
    <comment ref="B42" authorId="0" shapeId="0" xr:uid="{02D1F1DF-3D7F-4454-A68E-8CEE4AB525B8}">
      <text>
        <r>
          <rPr>
            <b/>
            <sz val="9"/>
            <color rgb="FF000000"/>
            <rFont val="Tahoma"/>
            <family val="2"/>
          </rPr>
          <t>Kunal Atul Jani: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 included as per steel mint costing.</t>
        </r>
      </text>
    </comment>
  </commentList>
</comments>
</file>

<file path=xl/sharedStrings.xml><?xml version="1.0" encoding="utf-8"?>
<sst xmlns="http://schemas.openxmlformats.org/spreadsheetml/2006/main" count="831" uniqueCount="67">
  <si>
    <t>Costing for TMT</t>
  </si>
  <si>
    <t>Steel Costing</t>
  </si>
  <si>
    <t>Item</t>
  </si>
  <si>
    <t>Recovery amount</t>
  </si>
  <si>
    <t>Rate</t>
  </si>
  <si>
    <t>Total cost</t>
  </si>
  <si>
    <t>Pig Iron</t>
  </si>
  <si>
    <t>Scrap</t>
  </si>
  <si>
    <t>Silico Manganese</t>
  </si>
  <si>
    <t>Power</t>
  </si>
  <si>
    <t>Manpower</t>
  </si>
  <si>
    <t>Consumption</t>
  </si>
  <si>
    <t>Unit</t>
  </si>
  <si>
    <t>%</t>
  </si>
  <si>
    <t>kg</t>
  </si>
  <si>
    <t>Iron Ore DRI</t>
  </si>
  <si>
    <t>Pallet DRI</t>
  </si>
  <si>
    <t>LS</t>
  </si>
  <si>
    <t>Cost</t>
  </si>
  <si>
    <t>Effective cost</t>
  </si>
  <si>
    <t>Market price of Billet</t>
  </si>
  <si>
    <t>Nett Margin</t>
  </si>
  <si>
    <t>RAIPUR</t>
  </si>
  <si>
    <t>NCR</t>
  </si>
  <si>
    <t>Billet Cost  (eff 14th Sep 2023)</t>
  </si>
  <si>
    <t>Rolling Mill Cost</t>
  </si>
  <si>
    <t>Scale loss</t>
  </si>
  <si>
    <t>unit</t>
  </si>
  <si>
    <t>Stores</t>
  </si>
  <si>
    <t>Rs/T</t>
  </si>
  <si>
    <t>Cutting loss</t>
  </si>
  <si>
    <t>Rolling cost</t>
  </si>
  <si>
    <t>Fuel cost</t>
  </si>
  <si>
    <t>scm/t</t>
  </si>
  <si>
    <t>Yield loss</t>
  </si>
  <si>
    <t>Market price for TMT</t>
  </si>
  <si>
    <t>Margin for mfr</t>
  </si>
  <si>
    <t>Reheating (bought out billets)</t>
  </si>
  <si>
    <t>Hot charging (own billet - direct rolling )</t>
  </si>
  <si>
    <t>Interest + Depreciation</t>
  </si>
  <si>
    <t>Ton</t>
  </si>
  <si>
    <t>Rs/Unit</t>
  </si>
  <si>
    <t>units</t>
  </si>
  <si>
    <t>Cost of Billet</t>
  </si>
  <si>
    <t>NCR Fe 550</t>
  </si>
  <si>
    <t>Power (incldg ancilliaries)</t>
  </si>
  <si>
    <t>Add back cost of scrap</t>
  </si>
  <si>
    <t>Short length realiz</t>
  </si>
  <si>
    <t>Net Margin</t>
  </si>
  <si>
    <t>Hot charging (own billet - direct rolling)</t>
  </si>
  <si>
    <t>Fuel cost / Coal</t>
  </si>
  <si>
    <t>Billet Cost (eff 15th Sep 2023)</t>
  </si>
  <si>
    <t>Billet Cost (eff. 15th Sep 2023)</t>
  </si>
  <si>
    <t>Rate (Rs./unit)</t>
  </si>
  <si>
    <t>RAIPUR COMPARISON</t>
  </si>
  <si>
    <t>NCR COMPARISON</t>
  </si>
  <si>
    <t>Cost of Billet (Market Price)</t>
  </si>
  <si>
    <t>NCR Fe550</t>
  </si>
  <si>
    <t>Nett Margin for Mfr.</t>
  </si>
  <si>
    <t>Contribution Margin for Mfr.</t>
  </si>
  <si>
    <t>Durgapur</t>
  </si>
  <si>
    <t>Delta with Raipur</t>
  </si>
  <si>
    <t>Change from Oct</t>
  </si>
  <si>
    <t>Oct end</t>
  </si>
  <si>
    <t>Impact (Rs PMT)</t>
  </si>
  <si>
    <t>Billet Cost  (eff 29 oct 25)</t>
  </si>
  <si>
    <t>Billet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</si>
</sst>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2"/>
      <color rgb="FFFFFFFF"/>
      <name val="Calibri"/>
      <family val="2"/>
      <scheme val="minor"/>
    </font>
    <font>
      <sz val="11"/>
      <color rgb="FF000000"/>
      <name val="Aptos Narrow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" fontId="1" fillId="2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" fontId="1" fillId="0" borderId="4" xfId="0" applyNumberFormat="1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1" fontId="2" fillId="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65" fontId="0" fillId="0" borderId="1" xfId="1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166" fontId="1" fillId="2" borderId="4" xfId="1" applyNumberFormat="1" applyFont="1" applyFill="1" applyBorder="1" applyAlignment="1">
      <alignment vertical="center"/>
    </xf>
    <xf numFmtId="166" fontId="1" fillId="3" borderId="4" xfId="1" applyNumberFormat="1" applyFont="1" applyFill="1" applyBorder="1" applyAlignment="1">
      <alignment vertical="center"/>
    </xf>
    <xf numFmtId="166" fontId="1" fillId="0" borderId="4" xfId="1" applyNumberFormat="1" applyFont="1" applyBorder="1" applyAlignment="1">
      <alignment vertical="center"/>
    </xf>
    <xf numFmtId="166" fontId="0" fillId="0" borderId="1" xfId="1" applyNumberFormat="1" applyFont="1" applyBorder="1" applyAlignment="1">
      <alignment horizontal="right" vertical="center"/>
    </xf>
    <xf numFmtId="166" fontId="1" fillId="2" borderId="4" xfId="1" applyNumberFormat="1" applyFont="1" applyFill="1" applyBorder="1" applyAlignment="1">
      <alignment horizontal="right" vertical="center"/>
    </xf>
    <xf numFmtId="166" fontId="1" fillId="3" borderId="4" xfId="1" applyNumberFormat="1" applyFont="1" applyFill="1" applyBorder="1" applyAlignment="1">
      <alignment horizontal="right" vertical="center"/>
    </xf>
    <xf numFmtId="166" fontId="1" fillId="0" borderId="4" xfId="1" applyNumberFormat="1" applyFont="1" applyBorder="1" applyAlignment="1">
      <alignment horizontal="right" vertical="center"/>
    </xf>
    <xf numFmtId="165" fontId="0" fillId="9" borderId="1" xfId="1" applyNumberFormat="1" applyFont="1" applyFill="1" applyBorder="1" applyAlignment="1">
      <alignment horizontal="center" vertical="center"/>
    </xf>
    <xf numFmtId="165" fontId="0" fillId="8" borderId="1" xfId="1" applyNumberFormat="1" applyFont="1" applyFill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/>
    </xf>
    <xf numFmtId="166" fontId="0" fillId="9" borderId="1" xfId="1" applyNumberFormat="1" applyFont="1" applyFill="1" applyBorder="1" applyAlignment="1">
      <alignment horizontal="center" vertical="center"/>
    </xf>
    <xf numFmtId="166" fontId="0" fillId="8" borderId="1" xfId="1" applyNumberFormat="1" applyFont="1" applyFill="1" applyBorder="1" applyAlignment="1">
      <alignment horizontal="center" vertical="center"/>
    </xf>
    <xf numFmtId="166" fontId="1" fillId="8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166" fontId="0" fillId="4" borderId="1" xfId="1" applyNumberFormat="1" applyFont="1" applyFill="1" applyBorder="1" applyAlignment="1">
      <alignment horizontal="center" vertical="center"/>
    </xf>
    <xf numFmtId="166" fontId="1" fillId="4" borderId="1" xfId="1" applyNumberFormat="1" applyFont="1" applyFill="1" applyBorder="1" applyAlignment="1">
      <alignment horizontal="center" vertical="center"/>
    </xf>
    <xf numFmtId="166" fontId="1" fillId="5" borderId="1" xfId="1" applyNumberFormat="1" applyFont="1" applyFill="1" applyBorder="1" applyAlignment="1">
      <alignment horizontal="center" vertical="center"/>
    </xf>
    <xf numFmtId="166" fontId="2" fillId="7" borderId="1" xfId="1" applyNumberFormat="1" applyFont="1" applyFill="1" applyBorder="1" applyAlignment="1">
      <alignment horizontal="center" vertical="center"/>
    </xf>
    <xf numFmtId="166" fontId="0" fillId="2" borderId="3" xfId="1" applyNumberFormat="1" applyFont="1" applyFill="1" applyBorder="1" applyAlignment="1">
      <alignment vertical="center"/>
    </xf>
    <xf numFmtId="166" fontId="1" fillId="2" borderId="4" xfId="1" applyNumberFormat="1" applyFont="1" applyFill="1" applyBorder="1" applyAlignment="1">
      <alignment horizontal="center" vertical="center"/>
    </xf>
    <xf numFmtId="166" fontId="1" fillId="3" borderId="4" xfId="1" applyNumberFormat="1" applyFont="1" applyFill="1" applyBorder="1" applyAlignment="1">
      <alignment horizontal="center" vertical="center"/>
    </xf>
    <xf numFmtId="166" fontId="1" fillId="0" borderId="4" xfId="1" applyNumberFormat="1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166" fontId="0" fillId="5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43" fontId="0" fillId="0" borderId="1" xfId="1" applyFont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43" fontId="0" fillId="0" borderId="0" xfId="1" applyFont="1" applyAlignment="1">
      <alignment vertical="center"/>
    </xf>
    <xf numFmtId="166" fontId="0" fillId="0" borderId="0" xfId="1" applyNumberFormat="1" applyFont="1" applyAlignment="1">
      <alignment vertical="center"/>
    </xf>
    <xf numFmtId="0" fontId="8" fillId="9" borderId="1" xfId="0" applyFont="1" applyFill="1" applyBorder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10" borderId="9" xfId="0" applyFont="1" applyFill="1" applyBorder="1" applyAlignment="1">
      <alignment horizontal="left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left" vertical="center" wrapText="1"/>
    </xf>
    <xf numFmtId="0" fontId="0" fillId="11" borderId="12" xfId="0" applyFill="1" applyBorder="1" applyAlignment="1">
      <alignment horizontal="left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9" fillId="11" borderId="13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9" fillId="11" borderId="11" xfId="0" applyFont="1" applyFill="1" applyBorder="1" applyAlignment="1">
      <alignment horizontal="left" wrapText="1"/>
    </xf>
    <xf numFmtId="0" fontId="11" fillId="12" borderId="0" xfId="0" applyFont="1" applyFill="1" applyAlignment="1">
      <alignment wrapText="1"/>
    </xf>
    <xf numFmtId="0" fontId="9" fillId="11" borderId="10" xfId="0" applyFont="1" applyFill="1" applyBorder="1" applyAlignment="1">
      <alignment horizontal="left"/>
    </xf>
    <xf numFmtId="0" fontId="11" fillId="12" borderId="0" xfId="0" applyFont="1" applyFill="1"/>
    <xf numFmtId="0" fontId="9" fillId="11" borderId="0" xfId="0" applyFont="1" applyFill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center" wrapText="1"/>
    </xf>
    <xf numFmtId="0" fontId="9" fillId="11" borderId="10" xfId="0" applyFont="1" applyFill="1" applyBorder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vertical="center" wrapText="1"/>
    </xf>
    <xf numFmtId="0" fontId="9" fillId="14" borderId="9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vertical="center"/>
    </xf>
    <xf numFmtId="0" fontId="9" fillId="15" borderId="9" xfId="0" applyFont="1" applyFill="1" applyBorder="1" applyAlignment="1">
      <alignment horizontal="center" vertical="center" wrapText="1"/>
    </xf>
    <xf numFmtId="0" fontId="9" fillId="15" borderId="9" xfId="0" applyFont="1" applyFill="1" applyBorder="1" applyAlignment="1">
      <alignment vertical="center" wrapText="1"/>
    </xf>
    <xf numFmtId="0" fontId="9" fillId="14" borderId="15" xfId="0" applyFont="1" applyFill="1" applyBorder="1" applyAlignment="1">
      <alignment horizontal="center" vertical="center" wrapText="1"/>
    </xf>
    <xf numFmtId="0" fontId="9" fillId="14" borderId="15" xfId="0" applyFont="1" applyFill="1" applyBorder="1" applyAlignment="1">
      <alignment vertical="center" wrapText="1"/>
    </xf>
    <xf numFmtId="0" fontId="9" fillId="14" borderId="16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/>
    </xf>
    <xf numFmtId="1" fontId="0" fillId="16" borderId="1" xfId="0" applyNumberFormat="1" applyFill="1" applyBorder="1" applyAlignment="1">
      <alignment horizontal="center" vertical="center"/>
    </xf>
    <xf numFmtId="1" fontId="1" fillId="16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vertical="center"/>
    </xf>
    <xf numFmtId="1" fontId="2" fillId="9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16" borderId="2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" fontId="1" fillId="16" borderId="2" xfId="0" applyNumberFormat="1" applyFont="1" applyFill="1" applyBorder="1" applyAlignment="1">
      <alignment horizontal="center" vertical="center"/>
    </xf>
    <xf numFmtId="1" fontId="0" fillId="16" borderId="2" xfId="0" applyNumberFormat="1" applyFill="1" applyBorder="1" applyAlignment="1">
      <alignment horizontal="center" vertical="center"/>
    </xf>
    <xf numFmtId="1" fontId="2" fillId="9" borderId="2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16" borderId="4" xfId="0" applyFont="1" applyFill="1" applyBorder="1" applyAlignment="1">
      <alignment horizontal="center" vertical="center"/>
    </xf>
    <xf numFmtId="1" fontId="1" fillId="16" borderId="4" xfId="0" applyNumberFormat="1" applyFont="1" applyFill="1" applyBorder="1" applyAlignment="1">
      <alignment horizontal="center" vertical="center"/>
    </xf>
    <xf numFmtId="1" fontId="0" fillId="16" borderId="4" xfId="0" applyNumberForma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1" fontId="2" fillId="9" borderId="4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166" fontId="1" fillId="6" borderId="1" xfId="1" applyNumberFormat="1" applyFont="1" applyFill="1" applyBorder="1" applyAlignment="1">
      <alignment vertical="center"/>
    </xf>
    <xf numFmtId="166" fontId="1" fillId="16" borderId="1" xfId="1" applyNumberFormat="1" applyFont="1" applyFill="1" applyBorder="1" applyAlignment="1">
      <alignment horizontal="center" vertical="center"/>
    </xf>
    <xf numFmtId="166" fontId="0" fillId="16" borderId="1" xfId="1" applyNumberFormat="1" applyFont="1" applyFill="1" applyBorder="1" applyAlignment="1">
      <alignment horizontal="center" vertical="center"/>
    </xf>
    <xf numFmtId="166" fontId="2" fillId="9" borderId="1" xfId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4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9" fillId="11" borderId="11" xfId="0" applyFont="1" applyFill="1" applyBorder="1" applyAlignment="1">
      <alignment horizontal="left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9" fillId="11" borderId="13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17" borderId="1" xfId="0" applyFill="1" applyBorder="1" applyAlignment="1">
      <alignment vertical="center"/>
    </xf>
    <xf numFmtId="0" fontId="8" fillId="17" borderId="1" xfId="0" applyFont="1" applyFill="1" applyBorder="1" applyAlignment="1">
      <alignment vertical="center"/>
    </xf>
    <xf numFmtId="0" fontId="1" fillId="17" borderId="4" xfId="0" applyFont="1" applyFill="1" applyBorder="1" applyAlignment="1">
      <alignment horizontal="center" vertical="center"/>
    </xf>
    <xf numFmtId="15" fontId="0" fillId="17" borderId="3" xfId="0" applyNumberFormat="1" applyFill="1" applyBorder="1" applyAlignment="1">
      <alignment vertical="center"/>
    </xf>
    <xf numFmtId="0" fontId="1" fillId="17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umitk/Downloads/Costing%20Dec24/12th%20Feb_BILLET%20AND%20TMT%20COSTING%20DETAILS_Raipur%20and%20NCR.xlsx" TargetMode="External"/><Relationship Id="rId1" Type="http://schemas.openxmlformats.org/officeDocument/2006/relationships/externalLinkPath" Target="12th%20Feb_BILLET%20AND%20TMT%20COSTING%20DETAILS_Raipur%20and%20NC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teel Mint Inputs"/>
    </sheetNames>
    <sheetDataSet>
      <sheetData sheetId="0">
        <row r="53">
          <cell r="F53">
            <v>41582.325872340429</v>
          </cell>
          <cell r="O53">
            <v>44443.723852410454</v>
          </cell>
        </row>
        <row r="54">
          <cell r="F54">
            <v>42000</v>
          </cell>
          <cell r="O54">
            <v>45500</v>
          </cell>
        </row>
        <row r="55">
          <cell r="F55">
            <v>417.67412765957124</v>
          </cell>
          <cell r="O55">
            <v>1056.2761475895459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F6A9-DB69-4CA6-8445-8A856AE426C7}">
  <dimension ref="A2:AH39"/>
  <sheetViews>
    <sheetView zoomScale="110" zoomScaleNormal="110" zoomScaleSheetLayoutView="120" workbookViewId="0">
      <selection activeCell="B1" sqref="B1:B1048576"/>
    </sheetView>
  </sheetViews>
  <sheetFormatPr baseColWidth="10" defaultColWidth="8.83203125" defaultRowHeight="15" x14ac:dyDescent="0.2"/>
  <cols>
    <col min="1" max="1" width="4" style="1" bestFit="1" customWidth="1"/>
    <col min="2" max="2" width="22.83203125" style="1" customWidth="1"/>
    <col min="3" max="3" width="12.33203125" style="1" bestFit="1" customWidth="1"/>
    <col min="4" max="4" width="5.6640625" style="1" bestFit="1" customWidth="1"/>
    <col min="5" max="6" width="8.83203125" style="1"/>
    <col min="7" max="7" width="16" style="1" bestFit="1" customWidth="1"/>
    <col min="8" max="8" width="12.1640625" style="1" bestFit="1" customWidth="1"/>
    <col min="9" max="9" width="8.83203125" style="1"/>
    <col min="10" max="10" width="13.6640625" style="1" bestFit="1" customWidth="1"/>
    <col min="11" max="11" width="13.6640625" style="1" customWidth="1"/>
    <col min="12" max="12" width="14.6640625" style="1" customWidth="1"/>
    <col min="20" max="20" width="13.6640625" style="1" bestFit="1" customWidth="1"/>
    <col min="21" max="21" width="13.6640625" style="1" customWidth="1"/>
    <col min="22" max="22" width="14.6640625" style="1" customWidth="1"/>
    <col min="23" max="25" width="8.83203125" style="1"/>
    <col min="26" max="26" width="26.5" style="1" bestFit="1" customWidth="1"/>
    <col min="27" max="27" width="12.33203125" style="1" bestFit="1" customWidth="1"/>
    <col min="28" max="29" width="8.83203125" style="1"/>
    <col min="30" max="30" width="16" style="1" bestFit="1" customWidth="1"/>
    <col min="31" max="31" width="12.33203125" style="1" bestFit="1" customWidth="1"/>
    <col min="32" max="16384" width="8.83203125" style="1"/>
  </cols>
  <sheetData>
    <row r="2" spans="1:32" x14ac:dyDescent="0.2">
      <c r="B2" s="2" t="s">
        <v>0</v>
      </c>
    </row>
    <row r="4" spans="1:32" x14ac:dyDescent="0.2">
      <c r="B4" s="2" t="s">
        <v>1</v>
      </c>
      <c r="C4" s="149" t="s">
        <v>22</v>
      </c>
      <c r="D4" s="149"/>
      <c r="E4" s="149"/>
      <c r="F4" s="149"/>
      <c r="G4" s="149"/>
      <c r="H4" s="149"/>
      <c r="I4" s="149"/>
      <c r="J4" s="20"/>
      <c r="K4" s="20"/>
      <c r="T4" s="20"/>
      <c r="U4" s="20"/>
      <c r="Z4" s="168"/>
      <c r="AA4" s="169"/>
      <c r="AB4" s="169"/>
      <c r="AC4" s="169"/>
      <c r="AD4" s="169"/>
      <c r="AE4" s="169"/>
      <c r="AF4" s="170"/>
    </row>
    <row r="5" spans="1:32" x14ac:dyDescent="0.2">
      <c r="B5" s="3" t="s">
        <v>2</v>
      </c>
      <c r="C5" s="3" t="s">
        <v>11</v>
      </c>
      <c r="D5" s="25" t="s">
        <v>12</v>
      </c>
      <c r="E5" s="35" t="s">
        <v>4</v>
      </c>
      <c r="F5" s="35" t="s">
        <v>18</v>
      </c>
      <c r="G5" s="35" t="s">
        <v>3</v>
      </c>
      <c r="H5" s="25" t="s">
        <v>19</v>
      </c>
      <c r="I5" s="25" t="s">
        <v>5</v>
      </c>
      <c r="J5" s="25"/>
      <c r="K5" s="25"/>
      <c r="L5" s="65"/>
      <c r="T5" s="25"/>
      <c r="U5" s="25"/>
      <c r="V5" s="65"/>
      <c r="Z5" s="25"/>
      <c r="AA5" s="25"/>
      <c r="AB5" s="35"/>
      <c r="AC5" s="35"/>
      <c r="AD5" s="25"/>
      <c r="AE5" s="25"/>
      <c r="AF5" s="3"/>
    </row>
    <row r="6" spans="1:32" x14ac:dyDescent="0.2">
      <c r="B6" s="4"/>
      <c r="C6" s="4"/>
      <c r="D6" s="4"/>
      <c r="E6" s="4"/>
      <c r="F6" s="4"/>
      <c r="G6" s="4"/>
      <c r="H6" s="4"/>
      <c r="I6" s="4"/>
      <c r="J6" s="4"/>
      <c r="K6" s="4"/>
      <c r="L6" s="55"/>
      <c r="T6" s="4"/>
      <c r="U6" s="4"/>
      <c r="V6" s="55"/>
      <c r="Z6" s="5"/>
      <c r="AA6" s="5"/>
      <c r="AB6" s="4"/>
      <c r="AC6" s="4"/>
      <c r="AD6" s="4"/>
      <c r="AE6" s="4"/>
      <c r="AF6" s="4"/>
    </row>
    <row r="7" spans="1:32" x14ac:dyDescent="0.2">
      <c r="A7" s="1">
        <v>850</v>
      </c>
      <c r="B7" s="3" t="s">
        <v>16</v>
      </c>
      <c r="C7" s="5">
        <v>68</v>
      </c>
      <c r="D7" s="5" t="s">
        <v>13</v>
      </c>
      <c r="E7" s="171">
        <v>26650</v>
      </c>
      <c r="F7" s="4">
        <f>E7*C7/100</f>
        <v>18122</v>
      </c>
      <c r="G7" s="6">
        <v>0.8</v>
      </c>
      <c r="H7" s="7">
        <f>F7/G7</f>
        <v>22652.5</v>
      </c>
      <c r="I7" s="7">
        <f>H7</f>
        <v>22652.5</v>
      </c>
      <c r="J7" s="7"/>
      <c r="K7" s="7"/>
      <c r="L7" s="53"/>
      <c r="T7" s="7"/>
      <c r="U7" s="7"/>
      <c r="V7" s="53"/>
      <c r="W7" s="8"/>
      <c r="Z7" s="5"/>
      <c r="AA7" s="5"/>
      <c r="AB7" s="4"/>
      <c r="AC7" s="4"/>
      <c r="AD7" s="6"/>
      <c r="AE7" s="7"/>
      <c r="AF7" s="7"/>
    </row>
    <row r="8" spans="1:32" x14ac:dyDescent="0.2">
      <c r="A8" s="1">
        <v>128</v>
      </c>
      <c r="B8" s="3" t="s">
        <v>6</v>
      </c>
      <c r="C8" s="5">
        <v>12</v>
      </c>
      <c r="D8" s="9" t="s">
        <v>13</v>
      </c>
      <c r="E8" s="171">
        <v>37550</v>
      </c>
      <c r="F8" s="4">
        <f>E8*C8/100</f>
        <v>4506</v>
      </c>
      <c r="G8" s="6">
        <v>0.94</v>
      </c>
      <c r="H8" s="7">
        <f>F8/G8</f>
        <v>4793.6170212765965</v>
      </c>
      <c r="I8" s="7">
        <f>H8</f>
        <v>4793.6170212765965</v>
      </c>
      <c r="J8" s="7"/>
      <c r="K8" s="7"/>
      <c r="L8" s="53"/>
      <c r="T8" s="7"/>
      <c r="U8" s="7"/>
      <c r="V8" s="53"/>
      <c r="W8" s="8"/>
      <c r="Z8" s="5"/>
      <c r="AA8" s="9"/>
      <c r="AB8" s="4"/>
      <c r="AC8" s="4"/>
      <c r="AD8" s="6"/>
      <c r="AE8" s="7"/>
      <c r="AF8" s="7"/>
    </row>
    <row r="9" spans="1:32" x14ac:dyDescent="0.2">
      <c r="A9" s="1">
        <v>104</v>
      </c>
      <c r="B9" s="3" t="s">
        <v>7</v>
      </c>
      <c r="C9" s="5">
        <v>10</v>
      </c>
      <c r="D9" s="9" t="s">
        <v>13</v>
      </c>
      <c r="E9" s="171">
        <v>34800</v>
      </c>
      <c r="F9" s="4">
        <f>E9*C9/100</f>
        <v>3480</v>
      </c>
      <c r="G9" s="6">
        <v>0.96</v>
      </c>
      <c r="H9" s="7">
        <f>F9/G9</f>
        <v>3625</v>
      </c>
      <c r="I9" s="7">
        <f>H9</f>
        <v>3625</v>
      </c>
      <c r="J9" s="7"/>
      <c r="K9" s="7"/>
      <c r="L9" s="53"/>
      <c r="T9" s="7"/>
      <c r="U9" s="7"/>
      <c r="V9" s="53"/>
      <c r="W9" s="8"/>
      <c r="Z9" s="5"/>
      <c r="AA9" s="9"/>
      <c r="AB9" s="4"/>
      <c r="AC9" s="4"/>
      <c r="AD9" s="6"/>
      <c r="AE9" s="7"/>
      <c r="AF9" s="7"/>
    </row>
    <row r="10" spans="1:32" x14ac:dyDescent="0.2">
      <c r="B10" s="3" t="s">
        <v>8</v>
      </c>
      <c r="C10" s="5">
        <v>14</v>
      </c>
      <c r="D10" s="5" t="s">
        <v>14</v>
      </c>
      <c r="E10" s="172">
        <v>74.400000000000006</v>
      </c>
      <c r="F10" s="4">
        <f>E10*C10</f>
        <v>1041.6000000000001</v>
      </c>
      <c r="G10" s="6">
        <v>1</v>
      </c>
      <c r="H10" s="7">
        <f>F10/G10</f>
        <v>1041.6000000000001</v>
      </c>
      <c r="I10" s="7">
        <f>H10</f>
        <v>1041.6000000000001</v>
      </c>
      <c r="J10" s="7"/>
      <c r="K10" s="7"/>
      <c r="L10" s="53"/>
      <c r="T10" s="7"/>
      <c r="U10" s="7"/>
      <c r="V10" s="53"/>
      <c r="W10" s="8"/>
      <c r="Z10" s="5"/>
      <c r="AA10" s="5"/>
      <c r="AB10" s="4"/>
      <c r="AC10" s="4"/>
      <c r="AD10" s="6"/>
      <c r="AE10" s="7"/>
      <c r="AF10" s="7"/>
    </row>
    <row r="11" spans="1:32" x14ac:dyDescent="0.2">
      <c r="A11" s="1">
        <v>119</v>
      </c>
      <c r="B11" s="3" t="s">
        <v>15</v>
      </c>
      <c r="C11" s="5">
        <v>10</v>
      </c>
      <c r="D11" s="9" t="s">
        <v>13</v>
      </c>
      <c r="E11" s="171">
        <v>30500</v>
      </c>
      <c r="F11" s="4">
        <f>E11*C11/100</f>
        <v>3050</v>
      </c>
      <c r="G11" s="6">
        <v>0.84</v>
      </c>
      <c r="H11" s="7">
        <f>F11/G11</f>
        <v>3630.9523809523812</v>
      </c>
      <c r="I11" s="7">
        <f>H11</f>
        <v>3630.9523809523812</v>
      </c>
      <c r="J11" s="7"/>
      <c r="K11" s="7"/>
      <c r="L11" s="53"/>
      <c r="T11" s="7"/>
      <c r="U11" s="7"/>
      <c r="V11" s="53"/>
      <c r="W11" s="8"/>
      <c r="Z11" s="5"/>
      <c r="AA11" s="9"/>
      <c r="AB11" s="4"/>
      <c r="AC11" s="4"/>
      <c r="AD11" s="6"/>
      <c r="AE11" s="7"/>
      <c r="AF11" s="7"/>
    </row>
    <row r="12" spans="1:32" x14ac:dyDescent="0.2">
      <c r="B12" s="3" t="s">
        <v>45</v>
      </c>
      <c r="C12" s="5">
        <v>700</v>
      </c>
      <c r="D12" s="5"/>
      <c r="E12" s="86">
        <v>6.5</v>
      </c>
      <c r="F12" s="4">
        <f>E12*C12</f>
        <v>4550</v>
      </c>
      <c r="G12" s="4"/>
      <c r="H12" s="4"/>
      <c r="I12" s="5">
        <f>E12*C12</f>
        <v>4550</v>
      </c>
      <c r="J12" s="5"/>
      <c r="K12" s="5"/>
      <c r="L12" s="53"/>
      <c r="T12" s="5"/>
      <c r="U12" s="5"/>
      <c r="V12" s="53"/>
      <c r="W12" s="8"/>
      <c r="Z12" s="5"/>
      <c r="AA12" s="5"/>
      <c r="AB12" s="4"/>
      <c r="AC12" s="4"/>
      <c r="AD12" s="4"/>
      <c r="AE12" s="4"/>
      <c r="AF12" s="5"/>
    </row>
    <row r="13" spans="1:32" x14ac:dyDescent="0.2">
      <c r="B13" s="3" t="s">
        <v>28</v>
      </c>
      <c r="C13" s="5">
        <v>1</v>
      </c>
      <c r="D13" s="5" t="s">
        <v>29</v>
      </c>
      <c r="E13" s="86">
        <v>500</v>
      </c>
      <c r="F13" s="4">
        <f>E13*C13</f>
        <v>500</v>
      </c>
      <c r="G13" s="4"/>
      <c r="H13" s="4"/>
      <c r="I13" s="5">
        <v>550</v>
      </c>
      <c r="J13" s="5"/>
      <c r="K13" s="5"/>
      <c r="L13" s="53"/>
      <c r="T13" s="5"/>
      <c r="U13" s="5"/>
      <c r="V13" s="53"/>
      <c r="W13" s="8"/>
      <c r="Z13" s="5"/>
      <c r="AA13" s="5"/>
      <c r="AB13" s="4"/>
      <c r="AC13" s="4"/>
      <c r="AD13" s="4"/>
      <c r="AE13" s="4"/>
      <c r="AF13" s="5"/>
    </row>
    <row r="14" spans="1:32" x14ac:dyDescent="0.2">
      <c r="B14" s="3" t="s">
        <v>10</v>
      </c>
      <c r="C14" s="5">
        <v>1</v>
      </c>
      <c r="D14" s="5" t="s">
        <v>29</v>
      </c>
      <c r="E14" s="86">
        <v>550</v>
      </c>
      <c r="F14" s="4">
        <f>E14</f>
        <v>550</v>
      </c>
      <c r="G14" s="4"/>
      <c r="H14" s="4"/>
      <c r="I14" s="5">
        <v>500</v>
      </c>
      <c r="J14" s="5"/>
      <c r="K14" s="5"/>
      <c r="L14" s="53"/>
      <c r="T14" s="5"/>
      <c r="U14" s="5"/>
      <c r="V14" s="53"/>
      <c r="Z14" s="5"/>
      <c r="AA14" s="5"/>
      <c r="AB14" s="4"/>
      <c r="AC14" s="4"/>
      <c r="AD14" s="4"/>
      <c r="AE14" s="4"/>
      <c r="AF14" s="5"/>
    </row>
    <row r="15" spans="1:32" x14ac:dyDescent="0.2">
      <c r="B15" s="10" t="s">
        <v>66</v>
      </c>
      <c r="C15" s="174">
        <v>46098</v>
      </c>
      <c r="D15" s="11"/>
      <c r="E15" s="11"/>
      <c r="F15" s="11"/>
      <c r="G15" s="11"/>
      <c r="H15" s="11"/>
      <c r="I15" s="12">
        <f>SUM(I7:I14)</f>
        <v>41343.669402228974</v>
      </c>
      <c r="J15" s="12"/>
      <c r="K15" s="12"/>
      <c r="L15" s="75"/>
      <c r="T15" s="12"/>
      <c r="U15" s="12"/>
      <c r="V15" s="75"/>
      <c r="W15" s="22"/>
      <c r="Z15" s="10"/>
      <c r="AA15" s="11"/>
      <c r="AB15" s="11"/>
      <c r="AC15" s="11"/>
      <c r="AD15" s="11"/>
      <c r="AE15" s="11"/>
      <c r="AF15" s="12"/>
    </row>
    <row r="16" spans="1:32" x14ac:dyDescent="0.2">
      <c r="B16" s="13" t="s">
        <v>20</v>
      </c>
      <c r="C16" s="14"/>
      <c r="D16" s="14"/>
      <c r="E16" s="14"/>
      <c r="F16" s="14"/>
      <c r="G16" s="14"/>
      <c r="H16" s="14"/>
      <c r="I16" s="173">
        <v>41900</v>
      </c>
      <c r="J16" s="15"/>
      <c r="K16" s="15"/>
      <c r="L16" s="76"/>
      <c r="T16" s="15"/>
      <c r="U16" s="15"/>
      <c r="V16" s="76"/>
      <c r="W16" s="22"/>
      <c r="Z16" s="13"/>
      <c r="AA16" s="14"/>
      <c r="AB16" s="14"/>
      <c r="AC16" s="14"/>
      <c r="AD16" s="14"/>
      <c r="AE16" s="14"/>
      <c r="AF16" s="15"/>
    </row>
    <row r="17" spans="2:34" x14ac:dyDescent="0.2">
      <c r="B17" s="16" t="s">
        <v>21</v>
      </c>
      <c r="C17" s="17"/>
      <c r="D17" s="17"/>
      <c r="E17" s="17"/>
      <c r="F17" s="17"/>
      <c r="G17" s="17"/>
      <c r="H17" s="17"/>
      <c r="I17" s="18">
        <f>I16-I15</f>
        <v>556.33059777102608</v>
      </c>
      <c r="J17" s="18"/>
      <c r="K17" s="18"/>
      <c r="L17" s="77"/>
      <c r="T17" s="18"/>
      <c r="U17" s="18"/>
      <c r="V17" s="77"/>
      <c r="W17" s="22"/>
      <c r="Z17" s="16"/>
      <c r="AA17" s="17"/>
      <c r="AB17" s="17"/>
      <c r="AC17" s="17"/>
      <c r="AD17" s="17"/>
      <c r="AE17" s="17"/>
      <c r="AF17" s="18"/>
    </row>
    <row r="18" spans="2:34" x14ac:dyDescent="0.2">
      <c r="B18" s="2"/>
      <c r="C18" s="2"/>
      <c r="D18" s="2"/>
      <c r="E18" s="2"/>
      <c r="F18" s="2"/>
      <c r="G18" s="2"/>
      <c r="H18" s="2"/>
      <c r="I18" s="19"/>
      <c r="J18" s="19"/>
      <c r="K18" s="19"/>
      <c r="L18" s="85"/>
      <c r="T18" s="19"/>
      <c r="U18" s="19"/>
      <c r="V18" s="85"/>
      <c r="Z18" s="2"/>
      <c r="AA18" s="2"/>
      <c r="AB18" s="2"/>
      <c r="AC18" s="2"/>
      <c r="AD18" s="2"/>
      <c r="AE18" s="2"/>
      <c r="AF18" s="19"/>
    </row>
    <row r="19" spans="2:34" x14ac:dyDescent="0.2">
      <c r="B19" s="116" t="s">
        <v>25</v>
      </c>
      <c r="C19" s="150" t="s">
        <v>38</v>
      </c>
      <c r="D19" s="150"/>
      <c r="E19" s="150"/>
      <c r="F19" s="151"/>
      <c r="G19" s="139"/>
      <c r="H19" s="139"/>
      <c r="I19" s="139"/>
      <c r="J19" s="133"/>
      <c r="K19" s="127"/>
      <c r="L19" s="144"/>
      <c r="T19" s="133"/>
      <c r="U19" s="127"/>
      <c r="V19" s="127"/>
      <c r="W19" s="127"/>
      <c r="X19" s="127"/>
      <c r="Z19" s="24"/>
      <c r="AA19" s="164"/>
      <c r="AB19" s="165"/>
      <c r="AC19" s="165"/>
      <c r="AD19" s="166"/>
      <c r="AE19" s="164"/>
      <c r="AF19" s="165"/>
      <c r="AG19" s="165"/>
      <c r="AH19" s="166"/>
    </row>
    <row r="20" spans="2:34" x14ac:dyDescent="0.2">
      <c r="B20" s="116" t="s">
        <v>2</v>
      </c>
      <c r="C20" s="116" t="s">
        <v>11</v>
      </c>
      <c r="D20" s="116" t="s">
        <v>12</v>
      </c>
      <c r="E20" s="116" t="s">
        <v>4</v>
      </c>
      <c r="F20" s="128" t="s">
        <v>18</v>
      </c>
      <c r="G20" s="141"/>
      <c r="H20" s="141"/>
      <c r="I20" s="141"/>
      <c r="J20" s="134"/>
      <c r="K20" s="116"/>
      <c r="L20" s="145"/>
      <c r="T20" s="134"/>
      <c r="U20" s="116"/>
      <c r="V20" s="145"/>
      <c r="W20" s="24"/>
      <c r="X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2:34" x14ac:dyDescent="0.2">
      <c r="B21" s="118" t="s">
        <v>43</v>
      </c>
      <c r="C21" s="116"/>
      <c r="D21" s="116"/>
      <c r="E21" s="116"/>
      <c r="F21" s="130">
        <f>I15</f>
        <v>41343.669402228974</v>
      </c>
      <c r="G21" s="141"/>
      <c r="H21" s="141"/>
      <c r="I21" s="141"/>
      <c r="J21" s="135"/>
      <c r="K21" s="120"/>
      <c r="L21" s="145"/>
      <c r="T21" s="135"/>
      <c r="U21" s="120"/>
      <c r="V21" s="145"/>
      <c r="W21" s="25"/>
      <c r="X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2:34" x14ac:dyDescent="0.2">
      <c r="B22" s="118" t="s">
        <v>26</v>
      </c>
      <c r="C22" s="117">
        <v>0.8</v>
      </c>
      <c r="D22" s="117" t="s">
        <v>13</v>
      </c>
      <c r="E22" s="119">
        <f>I15</f>
        <v>41343.669402228974</v>
      </c>
      <c r="F22" s="131">
        <f>E22*C22/100</f>
        <v>330.74935521783186</v>
      </c>
      <c r="G22" s="140"/>
      <c r="H22" s="140"/>
      <c r="I22" s="142"/>
      <c r="J22" s="136"/>
      <c r="K22" s="119"/>
      <c r="L22" s="146"/>
      <c r="T22" s="135"/>
      <c r="U22" s="120"/>
      <c r="V22" s="145"/>
      <c r="W22" s="7"/>
      <c r="X22" s="7"/>
      <c r="Z22" s="36"/>
      <c r="AA22" s="5"/>
      <c r="AB22" s="5"/>
      <c r="AC22" s="7"/>
      <c r="AD22" s="7"/>
      <c r="AE22" s="5"/>
      <c r="AF22" s="5"/>
      <c r="AG22" s="7"/>
      <c r="AH22" s="7"/>
    </row>
    <row r="23" spans="2:34" x14ac:dyDescent="0.2">
      <c r="B23" s="118" t="s">
        <v>9</v>
      </c>
      <c r="C23" s="117">
        <v>120</v>
      </c>
      <c r="D23" s="117" t="s">
        <v>27</v>
      </c>
      <c r="E23" s="117">
        <v>6.5</v>
      </c>
      <c r="F23" s="131">
        <f>E23*C23</f>
        <v>780</v>
      </c>
      <c r="G23" s="140"/>
      <c r="H23" s="140"/>
      <c r="I23" s="140"/>
      <c r="J23" s="136"/>
      <c r="K23" s="119"/>
      <c r="L23" s="146"/>
      <c r="T23" s="135"/>
      <c r="U23" s="120"/>
      <c r="V23" s="145"/>
      <c r="W23" s="5"/>
      <c r="X23" s="7"/>
      <c r="Z23" s="36"/>
      <c r="AA23" s="5"/>
      <c r="AB23" s="5"/>
      <c r="AC23" s="5"/>
      <c r="AD23" s="7"/>
      <c r="AE23" s="5"/>
      <c r="AF23" s="5"/>
      <c r="AG23" s="5"/>
      <c r="AH23" s="7"/>
    </row>
    <row r="24" spans="2:34" x14ac:dyDescent="0.2">
      <c r="B24" s="118" t="s">
        <v>28</v>
      </c>
      <c r="C24" s="117">
        <v>1</v>
      </c>
      <c r="D24" s="117" t="s">
        <v>29</v>
      </c>
      <c r="E24" s="117">
        <v>400</v>
      </c>
      <c r="F24" s="129">
        <f>E24*C24</f>
        <v>400</v>
      </c>
      <c r="G24" s="140"/>
      <c r="H24" s="140"/>
      <c r="I24" s="140"/>
      <c r="J24" s="137"/>
      <c r="K24" s="117"/>
      <c r="L24" s="146"/>
      <c r="T24" s="135"/>
      <c r="U24" s="120"/>
      <c r="V24" s="145"/>
      <c r="W24" s="5"/>
      <c r="X24" s="5"/>
      <c r="Z24" s="36"/>
      <c r="AA24" s="5"/>
      <c r="AB24" s="5"/>
      <c r="AC24" s="5"/>
      <c r="AD24" s="5"/>
      <c r="AE24" s="5"/>
      <c r="AF24" s="5"/>
      <c r="AG24" s="5"/>
      <c r="AH24" s="5"/>
    </row>
    <row r="25" spans="2:34" x14ac:dyDescent="0.2">
      <c r="B25" s="118" t="s">
        <v>10</v>
      </c>
      <c r="C25" s="117">
        <v>1</v>
      </c>
      <c r="D25" s="117" t="s">
        <v>29</v>
      </c>
      <c r="E25" s="117">
        <v>700</v>
      </c>
      <c r="F25" s="129">
        <f>E25*C25</f>
        <v>700</v>
      </c>
      <c r="G25" s="140"/>
      <c r="H25" s="140"/>
      <c r="I25" s="140"/>
      <c r="J25" s="137"/>
      <c r="K25" s="117"/>
      <c r="L25" s="146"/>
      <c r="T25" s="135"/>
      <c r="U25" s="120"/>
      <c r="V25" s="145"/>
      <c r="W25" s="5"/>
      <c r="X25" s="5"/>
      <c r="Z25" s="36"/>
      <c r="AA25" s="5"/>
      <c r="AB25" s="5"/>
      <c r="AC25" s="5"/>
      <c r="AD25" s="5"/>
      <c r="AE25" s="5"/>
      <c r="AF25" s="5"/>
      <c r="AG25" s="5"/>
      <c r="AH25" s="5"/>
    </row>
    <row r="26" spans="2:34" x14ac:dyDescent="0.2">
      <c r="B26" s="118" t="s">
        <v>32</v>
      </c>
      <c r="C26" s="117">
        <v>0</v>
      </c>
      <c r="D26" s="117" t="s">
        <v>33</v>
      </c>
      <c r="E26" s="117">
        <v>47</v>
      </c>
      <c r="F26" s="129">
        <f>E26*C26</f>
        <v>0</v>
      </c>
      <c r="G26" s="140"/>
      <c r="H26" s="140"/>
      <c r="I26" s="140"/>
      <c r="J26" s="137"/>
      <c r="K26" s="117"/>
      <c r="L26" s="146"/>
      <c r="T26" s="135"/>
      <c r="U26" s="120"/>
      <c r="V26" s="145"/>
      <c r="W26" s="5"/>
      <c r="X26" s="5"/>
      <c r="Z26" s="36"/>
      <c r="AA26" s="5"/>
      <c r="AB26" s="5"/>
      <c r="AC26" s="5"/>
      <c r="AD26" s="5"/>
      <c r="AE26" s="5"/>
      <c r="AF26" s="5"/>
      <c r="AG26" s="5"/>
      <c r="AH26" s="5"/>
    </row>
    <row r="27" spans="2:34" x14ac:dyDescent="0.2">
      <c r="B27" s="118" t="s">
        <v>30</v>
      </c>
      <c r="C27" s="117">
        <v>0</v>
      </c>
      <c r="D27" s="117" t="s">
        <v>13</v>
      </c>
      <c r="E27" s="119">
        <f>SUM(F21:F26)</f>
        <v>43554.418757446809</v>
      </c>
      <c r="F27" s="131">
        <f>E27*C27/100</f>
        <v>0</v>
      </c>
      <c r="G27" s="140"/>
      <c r="H27" s="140"/>
      <c r="I27" s="142"/>
      <c r="J27" s="136"/>
      <c r="K27" s="119"/>
      <c r="L27" s="146"/>
      <c r="T27" s="135"/>
      <c r="U27" s="120"/>
      <c r="V27" s="145"/>
      <c r="W27" s="7"/>
      <c r="X27" s="7"/>
      <c r="Z27" s="36"/>
      <c r="AA27" s="5"/>
      <c r="AB27" s="5"/>
      <c r="AC27" s="7"/>
      <c r="AD27" s="7"/>
      <c r="AE27" s="5"/>
      <c r="AF27" s="5"/>
      <c r="AG27" s="7"/>
      <c r="AH27" s="7"/>
    </row>
    <row r="28" spans="2:34" x14ac:dyDescent="0.2">
      <c r="B28" s="118" t="s">
        <v>31</v>
      </c>
      <c r="C28" s="117"/>
      <c r="D28" s="117"/>
      <c r="E28" s="117"/>
      <c r="F28" s="130">
        <f>SUM(F22:F27)</f>
        <v>2210.7493552178321</v>
      </c>
      <c r="G28" s="140"/>
      <c r="H28" s="140"/>
      <c r="I28" s="140"/>
      <c r="J28" s="135"/>
      <c r="K28" s="120"/>
      <c r="L28" s="145"/>
      <c r="T28" s="135"/>
      <c r="U28" s="120"/>
      <c r="V28" s="145"/>
      <c r="W28" s="27"/>
      <c r="X28" s="28"/>
      <c r="Z28" s="37"/>
      <c r="AA28" s="27"/>
      <c r="AB28" s="27"/>
      <c r="AC28" s="27"/>
      <c r="AD28" s="28"/>
      <c r="AE28" s="27"/>
      <c r="AF28" s="27"/>
      <c r="AG28" s="27"/>
      <c r="AH28" s="28"/>
    </row>
    <row r="29" spans="2:34" x14ac:dyDescent="0.2">
      <c r="B29" s="118" t="s">
        <v>34</v>
      </c>
      <c r="C29" s="117">
        <v>4.5</v>
      </c>
      <c r="D29" s="117" t="s">
        <v>13</v>
      </c>
      <c r="E29" s="119">
        <f>SUM(F21:F27)</f>
        <v>43554.418757446809</v>
      </c>
      <c r="F29" s="131">
        <f>E29*C29/100</f>
        <v>1959.9488440851064</v>
      </c>
      <c r="G29" s="140"/>
      <c r="H29" s="140"/>
      <c r="I29" s="142"/>
      <c r="J29" s="136"/>
      <c r="K29" s="119"/>
      <c r="L29" s="146"/>
      <c r="T29" s="135"/>
      <c r="U29" s="120"/>
      <c r="V29" s="145"/>
      <c r="W29" s="7"/>
      <c r="X29" s="7"/>
      <c r="Z29" s="36"/>
      <c r="AA29" s="5"/>
      <c r="AB29" s="5"/>
      <c r="AC29" s="7"/>
      <c r="AD29" s="7"/>
      <c r="AE29" s="5"/>
      <c r="AF29" s="5"/>
      <c r="AG29" s="7"/>
      <c r="AH29" s="7"/>
    </row>
    <row r="30" spans="2:34" x14ac:dyDescent="0.2">
      <c r="B30" s="118" t="s">
        <v>46</v>
      </c>
      <c r="C30" s="117">
        <v>-25</v>
      </c>
      <c r="D30" s="117" t="s">
        <v>14</v>
      </c>
      <c r="E30" s="119">
        <v>36</v>
      </c>
      <c r="F30" s="129">
        <f>E30*C30</f>
        <v>-900</v>
      </c>
      <c r="G30" s="140"/>
      <c r="H30" s="140"/>
      <c r="I30" s="142"/>
      <c r="J30" s="137"/>
      <c r="K30" s="117"/>
      <c r="L30" s="146"/>
      <c r="T30" s="135"/>
      <c r="U30" s="120"/>
      <c r="V30" s="145"/>
      <c r="W30" s="7"/>
      <c r="X30" s="5"/>
      <c r="Z30" s="36"/>
      <c r="AA30" s="5"/>
      <c r="AB30" s="5"/>
      <c r="AC30" s="7"/>
      <c r="AD30" s="5"/>
      <c r="AE30" s="5"/>
      <c r="AF30" s="5"/>
      <c r="AG30" s="7"/>
      <c r="AH30" s="5"/>
    </row>
    <row r="31" spans="2:34" x14ac:dyDescent="0.2">
      <c r="B31" s="118" t="s">
        <v>47</v>
      </c>
      <c r="C31" s="117">
        <v>-20</v>
      </c>
      <c r="D31" s="117" t="s">
        <v>14</v>
      </c>
      <c r="E31" s="119">
        <v>43</v>
      </c>
      <c r="F31" s="129">
        <f>E31*C31</f>
        <v>-860</v>
      </c>
      <c r="G31" s="140"/>
      <c r="H31" s="140"/>
      <c r="I31" s="142"/>
      <c r="J31" s="137"/>
      <c r="K31" s="117"/>
      <c r="L31" s="146"/>
      <c r="T31" s="135"/>
      <c r="U31" s="120"/>
      <c r="V31" s="145"/>
      <c r="W31" s="7"/>
      <c r="X31" s="5"/>
      <c r="Z31" s="36"/>
      <c r="AA31" s="5"/>
      <c r="AB31" s="5"/>
      <c r="AC31" s="7"/>
      <c r="AD31" s="5"/>
      <c r="AE31" s="5"/>
      <c r="AF31" s="5"/>
      <c r="AG31" s="7"/>
      <c r="AH31" s="5"/>
    </row>
    <row r="32" spans="2:34" x14ac:dyDescent="0.2">
      <c r="B32" s="118" t="s">
        <v>39</v>
      </c>
      <c r="C32" s="117" t="s">
        <v>17</v>
      </c>
      <c r="D32" s="117" t="s">
        <v>29</v>
      </c>
      <c r="E32" s="117">
        <v>500</v>
      </c>
      <c r="F32" s="130">
        <v>500</v>
      </c>
      <c r="G32" s="140"/>
      <c r="H32" s="140"/>
      <c r="I32" s="140"/>
      <c r="J32" s="135"/>
      <c r="K32" s="120"/>
      <c r="L32" s="145"/>
      <c r="T32" s="135"/>
      <c r="U32" s="120"/>
      <c r="V32" s="145"/>
      <c r="W32" s="29"/>
      <c r="X32" s="30"/>
      <c r="Z32" s="38"/>
      <c r="AA32" s="29"/>
      <c r="AB32" s="29"/>
      <c r="AC32" s="29"/>
      <c r="AD32" s="30"/>
      <c r="AE32" s="29"/>
      <c r="AF32" s="29"/>
      <c r="AG32" s="29"/>
      <c r="AH32" s="30"/>
    </row>
    <row r="33" spans="2:34" x14ac:dyDescent="0.2">
      <c r="B33" s="118" t="s">
        <v>5</v>
      </c>
      <c r="C33" s="117"/>
      <c r="D33" s="117"/>
      <c r="E33" s="117"/>
      <c r="F33" s="130">
        <f>F28+I15+F32</f>
        <v>44054.418757446809</v>
      </c>
      <c r="G33" s="140"/>
      <c r="H33" s="140"/>
      <c r="I33" s="140"/>
      <c r="J33" s="135"/>
      <c r="K33" s="120"/>
      <c r="L33" s="145"/>
      <c r="T33" s="135"/>
      <c r="U33" s="120"/>
      <c r="V33" s="145"/>
      <c r="W33" s="31"/>
      <c r="X33" s="32"/>
      <c r="Z33" s="39"/>
      <c r="AA33" s="31"/>
      <c r="AB33" s="31"/>
      <c r="AC33" s="31"/>
      <c r="AD33" s="32"/>
      <c r="AE33" s="31"/>
      <c r="AF33" s="31"/>
      <c r="AG33" s="31"/>
      <c r="AH33" s="32"/>
    </row>
    <row r="34" spans="2:34" x14ac:dyDescent="0.2">
      <c r="B34" s="118" t="s">
        <v>35</v>
      </c>
      <c r="C34" s="117"/>
      <c r="D34" s="117"/>
      <c r="E34" s="117"/>
      <c r="F34" s="175">
        <v>46200</v>
      </c>
      <c r="G34" s="140"/>
      <c r="H34" s="140"/>
      <c r="I34" s="140"/>
      <c r="J34" s="134"/>
      <c r="K34" s="116"/>
      <c r="L34" s="145"/>
      <c r="T34" s="135"/>
      <c r="U34" s="120"/>
      <c r="V34" s="145"/>
      <c r="W34" s="5"/>
      <c r="X34" s="25"/>
      <c r="Z34" s="36"/>
      <c r="AA34" s="5"/>
      <c r="AB34" s="5"/>
      <c r="AC34" s="5"/>
      <c r="AD34" s="25"/>
      <c r="AE34" s="5"/>
      <c r="AF34" s="5"/>
      <c r="AG34" s="5"/>
      <c r="AH34" s="25"/>
    </row>
    <row r="35" spans="2:34" x14ac:dyDescent="0.2">
      <c r="B35" s="121" t="s">
        <v>36</v>
      </c>
      <c r="C35" s="122"/>
      <c r="D35" s="122"/>
      <c r="E35" s="122"/>
      <c r="F35" s="132">
        <f>F34-F33</f>
        <v>2145.5812425531913</v>
      </c>
      <c r="G35" s="143"/>
      <c r="H35" s="143"/>
      <c r="I35" s="143"/>
      <c r="J35" s="138"/>
      <c r="K35" s="123"/>
      <c r="L35" s="147"/>
      <c r="T35" s="135"/>
      <c r="U35" s="120"/>
      <c r="V35" s="145"/>
      <c r="W35" s="33"/>
      <c r="X35" s="34"/>
      <c r="Z35" s="40"/>
      <c r="AA35" s="33"/>
      <c r="AB35" s="33"/>
      <c r="AC35" s="33"/>
      <c r="AD35" s="34"/>
      <c r="AE35" s="33"/>
      <c r="AF35" s="33"/>
      <c r="AG35" s="33"/>
      <c r="AH35" s="34"/>
    </row>
    <row r="37" spans="2:34" x14ac:dyDescent="0.2">
      <c r="F37" s="22"/>
    </row>
    <row r="38" spans="2:34" x14ac:dyDescent="0.2">
      <c r="F38" s="22"/>
    </row>
    <row r="39" spans="2:34" x14ac:dyDescent="0.2">
      <c r="F39" s="22"/>
    </row>
  </sheetData>
  <mergeCells count="5">
    <mergeCell ref="AA19:AD19"/>
    <mergeCell ref="AE19:AH19"/>
    <mergeCell ref="Z4:AF4"/>
    <mergeCell ref="C4:I4"/>
    <mergeCell ref="C19:F19"/>
  </mergeCells>
  <pageMargins left="0.7" right="0.7" top="0.75" bottom="0.75" header="0.3" footer="0.3"/>
  <pageSetup paperSize="9" scale="36" orientation="portrait" verticalDpi="0" r:id="rId1"/>
  <colBreaks count="1" manualBreakCount="1">
    <brk id="25" max="54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EAFA-A9E4-1648-B454-8C0509F4AC34}">
  <dimension ref="A2:H39"/>
  <sheetViews>
    <sheetView tabSelected="1" workbookViewId="0">
      <selection activeCell="B17" sqref="B17"/>
    </sheetView>
  </sheetViews>
  <sheetFormatPr baseColWidth="10" defaultRowHeight="15" x14ac:dyDescent="0.2"/>
  <cols>
    <col min="1" max="1" width="22.83203125" style="1" customWidth="1"/>
    <col min="2" max="2" width="26.5" style="1" bestFit="1" customWidth="1"/>
    <col min="3" max="3" width="12.33203125" style="1" bestFit="1" customWidth="1"/>
    <col min="4" max="4" width="10.5" style="1" customWidth="1"/>
    <col min="5" max="5" width="6.83203125" style="1" bestFit="1" customWidth="1"/>
    <col min="6" max="6" width="16" style="1" bestFit="1" customWidth="1"/>
    <col min="7" max="7" width="12.6640625" style="1" customWidth="1"/>
    <col min="8" max="8" width="9.1640625" style="1" bestFit="1" customWidth="1"/>
  </cols>
  <sheetData>
    <row r="2" spans="1:8" x14ac:dyDescent="0.2">
      <c r="A2" s="2" t="s">
        <v>0</v>
      </c>
    </row>
    <row r="4" spans="1:8" x14ac:dyDescent="0.2">
      <c r="A4" s="2" t="s">
        <v>1</v>
      </c>
      <c r="B4" s="168" t="s">
        <v>23</v>
      </c>
      <c r="C4" s="169"/>
      <c r="D4" s="169"/>
      <c r="E4" s="169"/>
      <c r="F4" s="169"/>
      <c r="G4" s="169"/>
      <c r="H4" s="170"/>
    </row>
    <row r="5" spans="1:8" x14ac:dyDescent="0.2">
      <c r="A5" s="3" t="s">
        <v>2</v>
      </c>
      <c r="B5" s="25" t="s">
        <v>11</v>
      </c>
      <c r="C5" s="25" t="s">
        <v>12</v>
      </c>
      <c r="D5" s="35" t="s">
        <v>4</v>
      </c>
      <c r="E5" s="35" t="s">
        <v>18</v>
      </c>
      <c r="F5" s="3" t="s">
        <v>3</v>
      </c>
      <c r="G5" s="25" t="s">
        <v>19</v>
      </c>
      <c r="H5" s="25" t="s">
        <v>5</v>
      </c>
    </row>
    <row r="6" spans="1:8" x14ac:dyDescent="0.2">
      <c r="A6" s="4"/>
      <c r="B6" s="5"/>
      <c r="C6" s="5"/>
      <c r="D6" s="4"/>
      <c r="E6" s="4"/>
      <c r="F6" s="4"/>
      <c r="G6" s="4"/>
      <c r="H6" s="4"/>
    </row>
    <row r="7" spans="1:8" x14ac:dyDescent="0.2">
      <c r="A7" s="3" t="s">
        <v>16</v>
      </c>
      <c r="B7" s="5">
        <v>38</v>
      </c>
      <c r="C7" s="5" t="s">
        <v>13</v>
      </c>
      <c r="D7" s="4">
        <f>Raipur!E7+3100</f>
        <v>29750</v>
      </c>
      <c r="E7" s="4">
        <f>D7*B7/100</f>
        <v>11305</v>
      </c>
      <c r="F7" s="6">
        <v>0.79</v>
      </c>
      <c r="G7" s="7">
        <f>E7/F7</f>
        <v>14310.126582278481</v>
      </c>
      <c r="H7" s="7">
        <f>G7</f>
        <v>14310.126582278481</v>
      </c>
    </row>
    <row r="8" spans="1:8" x14ac:dyDescent="0.2">
      <c r="A8" s="3" t="s">
        <v>6</v>
      </c>
      <c r="B8" s="5">
        <v>12</v>
      </c>
      <c r="C8" s="9" t="s">
        <v>13</v>
      </c>
      <c r="D8" s="4">
        <f>Raipur!E8+3100</f>
        <v>40650</v>
      </c>
      <c r="E8" s="4">
        <f>D8*B8/100</f>
        <v>4878</v>
      </c>
      <c r="F8" s="6">
        <v>0.94</v>
      </c>
      <c r="G8" s="7">
        <f>E8/F8</f>
        <v>5189.3617021276596</v>
      </c>
      <c r="H8" s="7">
        <f>G8</f>
        <v>5189.3617021276596</v>
      </c>
    </row>
    <row r="9" spans="1:8" x14ac:dyDescent="0.2">
      <c r="A9" s="3" t="s">
        <v>7</v>
      </c>
      <c r="B9" s="5">
        <v>50</v>
      </c>
      <c r="C9" s="9" t="s">
        <v>13</v>
      </c>
      <c r="D9" s="171">
        <f>35200-500</f>
        <v>34700</v>
      </c>
      <c r="E9" s="4">
        <f>D9*B9/100</f>
        <v>17350</v>
      </c>
      <c r="F9" s="6">
        <v>0.96</v>
      </c>
      <c r="G9" s="7">
        <f>E9/F9</f>
        <v>18072.916666666668</v>
      </c>
      <c r="H9" s="7">
        <f>G9</f>
        <v>18072.916666666668</v>
      </c>
    </row>
    <row r="10" spans="1:8" x14ac:dyDescent="0.2">
      <c r="A10" s="3" t="s">
        <v>8</v>
      </c>
      <c r="B10" s="5">
        <v>14</v>
      </c>
      <c r="C10" s="5" t="s">
        <v>14</v>
      </c>
      <c r="D10" s="82">
        <f>Raipur!E10</f>
        <v>74.400000000000006</v>
      </c>
      <c r="E10" s="4">
        <f>D10*B10</f>
        <v>1041.6000000000001</v>
      </c>
      <c r="F10" s="6">
        <v>1</v>
      </c>
      <c r="G10" s="7">
        <f>E10/F10</f>
        <v>1041.6000000000001</v>
      </c>
      <c r="H10" s="7">
        <f>G10</f>
        <v>1041.6000000000001</v>
      </c>
    </row>
    <row r="11" spans="1:8" x14ac:dyDescent="0.2">
      <c r="A11" s="3" t="s">
        <v>15</v>
      </c>
      <c r="B11" s="5">
        <v>0</v>
      </c>
      <c r="C11" s="9" t="s">
        <v>13</v>
      </c>
      <c r="D11" s="4">
        <f>Raipur!E11+3100</f>
        <v>33600</v>
      </c>
      <c r="E11" s="4">
        <f>D11*B11/100</f>
        <v>0</v>
      </c>
      <c r="F11" s="6">
        <v>0.83</v>
      </c>
      <c r="G11" s="7">
        <f>E11/F11</f>
        <v>0</v>
      </c>
      <c r="H11" s="7">
        <f>G11</f>
        <v>0</v>
      </c>
    </row>
    <row r="12" spans="1:8" x14ac:dyDescent="0.2">
      <c r="A12" s="3" t="s">
        <v>45</v>
      </c>
      <c r="B12" s="5">
        <v>650</v>
      </c>
      <c r="C12" s="5"/>
      <c r="D12" s="82">
        <v>6.5</v>
      </c>
      <c r="E12" s="4">
        <f>D12*B12</f>
        <v>4225</v>
      </c>
      <c r="F12" s="4"/>
      <c r="G12" s="4"/>
      <c r="H12" s="5">
        <f>D12*B12</f>
        <v>4225</v>
      </c>
    </row>
    <row r="13" spans="1:8" x14ac:dyDescent="0.2">
      <c r="A13" s="3" t="s">
        <v>28</v>
      </c>
      <c r="B13" s="5">
        <v>1</v>
      </c>
      <c r="C13" s="5" t="s">
        <v>17</v>
      </c>
      <c r="D13" s="82">
        <v>500</v>
      </c>
      <c r="E13" s="4">
        <f>D13*B13</f>
        <v>500</v>
      </c>
      <c r="F13" s="4"/>
      <c r="G13" s="4"/>
      <c r="H13" s="5">
        <f>D13*B13</f>
        <v>500</v>
      </c>
    </row>
    <row r="14" spans="1:8" x14ac:dyDescent="0.2">
      <c r="A14" s="3" t="s">
        <v>10</v>
      </c>
      <c r="B14" s="5">
        <v>1</v>
      </c>
      <c r="C14" s="5" t="s">
        <v>17</v>
      </c>
      <c r="D14" s="82">
        <v>550</v>
      </c>
      <c r="E14" s="4">
        <f>D14</f>
        <v>550</v>
      </c>
      <c r="F14" s="4"/>
      <c r="G14" s="4"/>
      <c r="H14" s="5">
        <f>D14*B14</f>
        <v>550</v>
      </c>
    </row>
    <row r="15" spans="1:8" x14ac:dyDescent="0.2">
      <c r="A15" s="10" t="s">
        <v>66</v>
      </c>
      <c r="B15" s="10" t="str">
        <f>Raipur!B15</f>
        <v>Billet Cost</v>
      </c>
      <c r="C15" s="174">
        <f>Raipur!C15</f>
        <v>46098</v>
      </c>
      <c r="D15" s="11"/>
      <c r="E15" s="11"/>
      <c r="F15" s="11"/>
      <c r="G15" s="11"/>
      <c r="H15" s="12">
        <f>SUM(H7:H14)</f>
        <v>43889.004951072806</v>
      </c>
    </row>
    <row r="16" spans="1:8" x14ac:dyDescent="0.2">
      <c r="A16" s="13" t="s">
        <v>20</v>
      </c>
      <c r="B16" s="13" t="s">
        <v>20</v>
      </c>
      <c r="C16" s="14"/>
      <c r="D16" s="14"/>
      <c r="E16" s="14"/>
      <c r="F16" s="14"/>
      <c r="G16" s="14"/>
      <c r="H16" s="173">
        <f>44400-500</f>
        <v>43900</v>
      </c>
    </row>
    <row r="17" spans="1:8" x14ac:dyDescent="0.2">
      <c r="A17" s="16" t="s">
        <v>21</v>
      </c>
      <c r="B17" s="16" t="s">
        <v>21</v>
      </c>
      <c r="C17" s="17"/>
      <c r="D17" s="17"/>
      <c r="E17" s="17"/>
      <c r="F17" s="17"/>
      <c r="G17" s="17"/>
      <c r="H17" s="18">
        <f>H16-H15</f>
        <v>10.995048927194148</v>
      </c>
    </row>
    <row r="18" spans="1:8" x14ac:dyDescent="0.2">
      <c r="A18" s="2"/>
      <c r="B18" s="2"/>
      <c r="C18" s="2"/>
      <c r="D18" s="2"/>
      <c r="E18" s="2"/>
      <c r="F18" s="2"/>
      <c r="G18" s="2"/>
      <c r="H18" s="19"/>
    </row>
    <row r="19" spans="1:8" x14ac:dyDescent="0.2">
      <c r="A19" s="116" t="s">
        <v>25</v>
      </c>
      <c r="B19" s="116" t="s">
        <v>25</v>
      </c>
      <c r="C19" s="151" t="s">
        <v>38</v>
      </c>
      <c r="D19" s="167"/>
      <c r="E19" s="167"/>
      <c r="F19" s="167"/>
      <c r="G19" s="139"/>
      <c r="H19" s="139"/>
    </row>
    <row r="20" spans="1:8" x14ac:dyDescent="0.2">
      <c r="A20" s="116" t="s">
        <v>2</v>
      </c>
      <c r="B20" s="116" t="s">
        <v>2</v>
      </c>
      <c r="C20" s="116" t="s">
        <v>11</v>
      </c>
      <c r="D20" s="116" t="s">
        <v>12</v>
      </c>
      <c r="E20" s="116" t="s">
        <v>4</v>
      </c>
      <c r="F20" s="128" t="s">
        <v>18</v>
      </c>
      <c r="G20" s="141"/>
      <c r="H20" s="141"/>
    </row>
    <row r="21" spans="1:8" x14ac:dyDescent="0.2">
      <c r="A21" s="118" t="s">
        <v>43</v>
      </c>
      <c r="B21" s="118" t="s">
        <v>43</v>
      </c>
      <c r="C21" s="116"/>
      <c r="D21" s="116"/>
      <c r="E21" s="116"/>
      <c r="F21" s="130">
        <f>H15</f>
        <v>43889.004951072806</v>
      </c>
      <c r="G21" s="141"/>
      <c r="H21" s="141"/>
    </row>
    <row r="22" spans="1:8" x14ac:dyDescent="0.2">
      <c r="A22" s="118" t="s">
        <v>26</v>
      </c>
      <c r="B22" s="118" t="s">
        <v>26</v>
      </c>
      <c r="C22" s="117">
        <v>0.8</v>
      </c>
      <c r="D22" s="117" t="s">
        <v>13</v>
      </c>
      <c r="E22" s="119">
        <f>H15</f>
        <v>43889.004951072806</v>
      </c>
      <c r="F22" s="131">
        <f>E22*C22/100</f>
        <v>351.11203960858251</v>
      </c>
      <c r="G22" s="140"/>
      <c r="H22" s="140"/>
    </row>
    <row r="23" spans="1:8" x14ac:dyDescent="0.2">
      <c r="A23" s="118" t="s">
        <v>9</v>
      </c>
      <c r="B23" s="118" t="s">
        <v>9</v>
      </c>
      <c r="C23" s="117">
        <v>120</v>
      </c>
      <c r="D23" s="117" t="s">
        <v>27</v>
      </c>
      <c r="E23" s="117">
        <v>6.5</v>
      </c>
      <c r="F23" s="131">
        <f>E23*C23</f>
        <v>780</v>
      </c>
      <c r="G23" s="140"/>
      <c r="H23" s="140"/>
    </row>
    <row r="24" spans="1:8" x14ac:dyDescent="0.2">
      <c r="A24" s="118" t="s">
        <v>28</v>
      </c>
      <c r="B24" s="118" t="s">
        <v>28</v>
      </c>
      <c r="C24" s="117">
        <v>1</v>
      </c>
      <c r="D24" s="117" t="s">
        <v>29</v>
      </c>
      <c r="E24" s="117">
        <v>400</v>
      </c>
      <c r="F24" s="129">
        <f>E24*C24</f>
        <v>400</v>
      </c>
      <c r="G24" s="140"/>
      <c r="H24" s="140"/>
    </row>
    <row r="25" spans="1:8" x14ac:dyDescent="0.2">
      <c r="A25" s="118" t="s">
        <v>10</v>
      </c>
      <c r="B25" s="118" t="s">
        <v>10</v>
      </c>
      <c r="C25" s="117">
        <v>1</v>
      </c>
      <c r="D25" s="117" t="s">
        <v>29</v>
      </c>
      <c r="E25" s="117">
        <v>700</v>
      </c>
      <c r="F25" s="129">
        <f>E25*C25</f>
        <v>700</v>
      </c>
      <c r="G25" s="140"/>
      <c r="H25" s="140"/>
    </row>
    <row r="26" spans="1:8" x14ac:dyDescent="0.2">
      <c r="A26" s="118" t="s">
        <v>32</v>
      </c>
      <c r="B26" s="118" t="s">
        <v>32</v>
      </c>
      <c r="C26" s="117">
        <v>0</v>
      </c>
      <c r="D26" s="117" t="s">
        <v>33</v>
      </c>
      <c r="E26" s="117">
        <v>47</v>
      </c>
      <c r="F26" s="129">
        <f>E26*C26</f>
        <v>0</v>
      </c>
      <c r="G26" s="140"/>
      <c r="H26" s="140"/>
    </row>
    <row r="27" spans="1:8" x14ac:dyDescent="0.2">
      <c r="A27" s="118" t="s">
        <v>30</v>
      </c>
      <c r="B27" s="118" t="s">
        <v>30</v>
      </c>
      <c r="C27" s="117">
        <v>0</v>
      </c>
      <c r="D27" s="117" t="s">
        <v>13</v>
      </c>
      <c r="E27" s="119">
        <f>SUM(F21:F26)</f>
        <v>46120.116990681388</v>
      </c>
      <c r="F27" s="131">
        <f>E27*C27/100</f>
        <v>0</v>
      </c>
      <c r="G27" s="140"/>
      <c r="H27" s="140"/>
    </row>
    <row r="28" spans="1:8" x14ac:dyDescent="0.2">
      <c r="A28" s="118" t="s">
        <v>31</v>
      </c>
      <c r="B28" s="118" t="s">
        <v>31</v>
      </c>
      <c r="C28" s="117"/>
      <c r="D28" s="117"/>
      <c r="E28" s="117"/>
      <c r="F28" s="130">
        <f>SUM(F22:F27)</f>
        <v>2231.1120396085826</v>
      </c>
      <c r="G28" s="140"/>
      <c r="H28" s="140"/>
    </row>
    <row r="29" spans="1:8" x14ac:dyDescent="0.2">
      <c r="A29" s="118" t="s">
        <v>34</v>
      </c>
      <c r="B29" s="118" t="s">
        <v>34</v>
      </c>
      <c r="C29" s="117">
        <v>4.5</v>
      </c>
      <c r="D29" s="117" t="s">
        <v>13</v>
      </c>
      <c r="E29" s="119">
        <f>SUM(F21:F27)</f>
        <v>46120.116990681388</v>
      </c>
      <c r="F29" s="131">
        <f>E29*C29/100</f>
        <v>2075.4052645806623</v>
      </c>
      <c r="G29" s="140"/>
      <c r="H29" s="140"/>
    </row>
    <row r="30" spans="1:8" x14ac:dyDescent="0.2">
      <c r="A30" s="118" t="s">
        <v>46</v>
      </c>
      <c r="B30" s="118" t="s">
        <v>46</v>
      </c>
      <c r="C30" s="117">
        <v>-45</v>
      </c>
      <c r="D30" s="117" t="s">
        <v>14</v>
      </c>
      <c r="E30" s="119">
        <v>36</v>
      </c>
      <c r="F30" s="129">
        <f>E30*C30</f>
        <v>-1620</v>
      </c>
      <c r="G30" s="140"/>
      <c r="H30" s="140"/>
    </row>
    <row r="31" spans="1:8" x14ac:dyDescent="0.2">
      <c r="A31" s="118" t="s">
        <v>47</v>
      </c>
      <c r="B31" s="118" t="s">
        <v>47</v>
      </c>
      <c r="C31" s="117">
        <v>-20</v>
      </c>
      <c r="D31" s="117" t="s">
        <v>14</v>
      </c>
      <c r="E31" s="119">
        <v>43</v>
      </c>
      <c r="F31" s="129">
        <f>E31*C31</f>
        <v>-860</v>
      </c>
      <c r="G31" s="140"/>
      <c r="H31" s="140"/>
    </row>
    <row r="32" spans="1:8" x14ac:dyDescent="0.2">
      <c r="A32" s="118" t="s">
        <v>39</v>
      </c>
      <c r="B32" s="118" t="s">
        <v>39</v>
      </c>
      <c r="C32" s="117" t="s">
        <v>17</v>
      </c>
      <c r="D32" s="117" t="s">
        <v>29</v>
      </c>
      <c r="E32" s="117">
        <v>500</v>
      </c>
      <c r="F32" s="130">
        <v>500</v>
      </c>
      <c r="G32" s="140"/>
      <c r="H32" s="140"/>
    </row>
    <row r="33" spans="1:8" x14ac:dyDescent="0.2">
      <c r="A33" s="118" t="s">
        <v>5</v>
      </c>
      <c r="B33" s="118" t="s">
        <v>5</v>
      </c>
      <c r="C33" s="117"/>
      <c r="D33" s="117"/>
      <c r="E33" s="117"/>
      <c r="F33" s="130">
        <f>H15+F28+F32</f>
        <v>46620.116990681388</v>
      </c>
      <c r="G33" s="140"/>
      <c r="H33" s="140"/>
    </row>
    <row r="34" spans="1:8" x14ac:dyDescent="0.2">
      <c r="A34" s="118" t="s">
        <v>35</v>
      </c>
      <c r="B34" s="118" t="s">
        <v>35</v>
      </c>
      <c r="C34" s="117"/>
      <c r="D34" s="117"/>
      <c r="E34" s="117"/>
      <c r="F34" s="175">
        <v>50750</v>
      </c>
      <c r="G34" s="140"/>
      <c r="H34" s="140"/>
    </row>
    <row r="35" spans="1:8" x14ac:dyDescent="0.2">
      <c r="A35" s="121" t="s">
        <v>36</v>
      </c>
      <c r="B35" s="121" t="s">
        <v>36</v>
      </c>
      <c r="C35" s="122"/>
      <c r="D35" s="122"/>
      <c r="E35" s="122"/>
      <c r="F35" s="132">
        <f>F34-F33</f>
        <v>4129.8830093186116</v>
      </c>
      <c r="G35" s="143"/>
      <c r="H35" s="143"/>
    </row>
    <row r="37" spans="1:8" x14ac:dyDescent="0.2">
      <c r="F37" s="22"/>
    </row>
    <row r="38" spans="1:8" x14ac:dyDescent="0.2">
      <c r="F38" s="22"/>
    </row>
    <row r="39" spans="1:8" x14ac:dyDescent="0.2">
      <c r="F39" s="22"/>
    </row>
  </sheetData>
  <mergeCells count="2">
    <mergeCell ref="B4:H4"/>
    <mergeCell ref="C19:F1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5CAC-0E5A-CC40-8EF4-A6F9342D5DCB}">
  <dimension ref="A2:AE62"/>
  <sheetViews>
    <sheetView topLeftCell="G2" zoomScale="130" zoomScaleNormal="130" zoomScaleSheetLayoutView="120" workbookViewId="0">
      <selection activeCell="Q55" sqref="Q55"/>
    </sheetView>
  </sheetViews>
  <sheetFormatPr baseColWidth="10" defaultColWidth="8.83203125" defaultRowHeight="15" x14ac:dyDescent="0.2"/>
  <cols>
    <col min="1" max="1" width="4" style="1" bestFit="1" customWidth="1"/>
    <col min="2" max="2" width="22.83203125" style="1" customWidth="1"/>
    <col min="3" max="3" width="12.33203125" style="1" bestFit="1" customWidth="1"/>
    <col min="4" max="4" width="5.6640625" style="1" bestFit="1" customWidth="1"/>
    <col min="5" max="6" width="8.83203125" style="1"/>
    <col min="7" max="7" width="16" style="1" bestFit="1" customWidth="1"/>
    <col min="8" max="8" width="12.1640625" style="1" bestFit="1" customWidth="1"/>
    <col min="9" max="9" width="8.83203125" style="1"/>
    <col min="10" max="10" width="13.6640625" style="1" bestFit="1" customWidth="1"/>
    <col min="11" max="11" width="13.6640625" style="1" customWidth="1"/>
    <col min="12" max="12" width="14.6640625" style="1" customWidth="1"/>
    <col min="13" max="13" width="26.5" style="1" bestFit="1" customWidth="1"/>
    <col min="14" max="14" width="12.33203125" style="1" bestFit="1" customWidth="1"/>
    <col min="15" max="15" width="10.5" style="1" customWidth="1"/>
    <col min="16" max="16" width="6.83203125" style="1" bestFit="1" customWidth="1"/>
    <col min="17" max="17" width="16" style="1" bestFit="1" customWidth="1"/>
    <col min="18" max="18" width="12.6640625" style="1" customWidth="1"/>
    <col min="19" max="19" width="9.1640625" style="1" bestFit="1" customWidth="1"/>
    <col min="20" max="22" width="8.83203125" style="1"/>
    <col min="23" max="23" width="26.5" style="1" bestFit="1" customWidth="1"/>
    <col min="24" max="24" width="12.33203125" style="1" bestFit="1" customWidth="1"/>
    <col min="25" max="26" width="8.83203125" style="1"/>
    <col min="27" max="27" width="16" style="1" bestFit="1" customWidth="1"/>
    <col min="28" max="28" width="12.33203125" style="1" bestFit="1" customWidth="1"/>
    <col min="29" max="16384" width="8.83203125" style="1"/>
  </cols>
  <sheetData>
    <row r="2" spans="1:29" x14ac:dyDescent="0.2">
      <c r="B2" s="2" t="s">
        <v>0</v>
      </c>
    </row>
    <row r="4" spans="1:29" x14ac:dyDescent="0.2">
      <c r="B4" s="2" t="s">
        <v>1</v>
      </c>
      <c r="C4" s="149" t="s">
        <v>22</v>
      </c>
      <c r="D4" s="149"/>
      <c r="E4" s="149"/>
      <c r="F4" s="149"/>
      <c r="G4" s="149"/>
      <c r="H4" s="149"/>
      <c r="I4" s="149"/>
      <c r="J4" s="20"/>
      <c r="K4" s="20"/>
      <c r="M4" s="149" t="s">
        <v>23</v>
      </c>
      <c r="N4" s="149"/>
      <c r="O4" s="149"/>
      <c r="P4" s="149"/>
      <c r="Q4" s="149"/>
      <c r="R4" s="149"/>
      <c r="S4" s="149"/>
      <c r="W4" s="149" t="s">
        <v>44</v>
      </c>
      <c r="X4" s="149"/>
      <c r="Y4" s="149"/>
      <c r="Z4" s="149"/>
      <c r="AA4" s="149"/>
      <c r="AB4" s="149"/>
      <c r="AC4" s="149"/>
    </row>
    <row r="5" spans="1:29" x14ac:dyDescent="0.2">
      <c r="B5" s="3" t="s">
        <v>2</v>
      </c>
      <c r="C5" s="3" t="s">
        <v>11</v>
      </c>
      <c r="D5" s="25" t="s">
        <v>12</v>
      </c>
      <c r="E5" s="35" t="s">
        <v>4</v>
      </c>
      <c r="F5" s="35" t="s">
        <v>18</v>
      </c>
      <c r="G5" s="35" t="s">
        <v>3</v>
      </c>
      <c r="H5" s="25" t="s">
        <v>19</v>
      </c>
      <c r="I5" s="25" t="s">
        <v>5</v>
      </c>
      <c r="J5" s="1" t="s">
        <v>62</v>
      </c>
      <c r="K5" s="1" t="s">
        <v>64</v>
      </c>
      <c r="L5" s="1" t="s">
        <v>63</v>
      </c>
      <c r="M5" s="25" t="s">
        <v>11</v>
      </c>
      <c r="N5" s="25" t="s">
        <v>12</v>
      </c>
      <c r="O5" s="35" t="s">
        <v>4</v>
      </c>
      <c r="P5" s="35" t="s">
        <v>18</v>
      </c>
      <c r="Q5" s="3" t="s">
        <v>3</v>
      </c>
      <c r="R5" s="25" t="s">
        <v>19</v>
      </c>
      <c r="S5" s="25" t="s">
        <v>5</v>
      </c>
      <c r="W5" s="25" t="s">
        <v>11</v>
      </c>
      <c r="X5" s="25" t="s">
        <v>12</v>
      </c>
      <c r="Y5" s="35" t="s">
        <v>4</v>
      </c>
      <c r="Z5" s="35" t="s">
        <v>18</v>
      </c>
      <c r="AA5" s="25" t="s">
        <v>3</v>
      </c>
      <c r="AB5" s="25" t="s">
        <v>19</v>
      </c>
      <c r="AC5" s="3" t="s">
        <v>5</v>
      </c>
    </row>
    <row r="6" spans="1:29" x14ac:dyDescent="0.2">
      <c r="B6" s="4"/>
      <c r="C6" s="4"/>
      <c r="D6" s="4"/>
      <c r="E6" s="4"/>
      <c r="F6" s="4"/>
      <c r="G6" s="4"/>
      <c r="H6" s="4"/>
      <c r="I6" s="4"/>
      <c r="L6" s="8"/>
      <c r="M6" s="5"/>
      <c r="N6" s="5"/>
      <c r="O6" s="4"/>
      <c r="P6" s="4"/>
      <c r="Q6" s="4"/>
      <c r="R6" s="4"/>
      <c r="S6" s="4"/>
      <c r="W6" s="5"/>
      <c r="X6" s="5"/>
      <c r="Y6" s="4"/>
      <c r="Z6" s="4"/>
      <c r="AA6" s="4"/>
      <c r="AB6" s="4"/>
      <c r="AC6" s="4"/>
    </row>
    <row r="7" spans="1:29" x14ac:dyDescent="0.2">
      <c r="A7" s="1">
        <v>850</v>
      </c>
      <c r="B7" s="3" t="s">
        <v>16</v>
      </c>
      <c r="C7" s="5">
        <v>68</v>
      </c>
      <c r="D7" s="5" t="s">
        <v>13</v>
      </c>
      <c r="E7" s="8">
        <v>22100</v>
      </c>
      <c r="F7" s="4">
        <f>E7*C7/100</f>
        <v>15028</v>
      </c>
      <c r="G7" s="6">
        <v>0.8</v>
      </c>
      <c r="H7" s="7">
        <f>F7/G7</f>
        <v>18785</v>
      </c>
      <c r="I7" s="7">
        <f>H7</f>
        <v>18785</v>
      </c>
      <c r="J7" s="124">
        <f>E7-L7</f>
        <v>0</v>
      </c>
      <c r="K7" s="124"/>
      <c r="L7" s="8">
        <v>22100</v>
      </c>
      <c r="M7" s="5">
        <v>38</v>
      </c>
      <c r="N7" s="5" t="s">
        <v>13</v>
      </c>
      <c r="O7" s="4">
        <f>E7+3100</f>
        <v>25200</v>
      </c>
      <c r="P7" s="4">
        <f>O7*M7/100</f>
        <v>9576</v>
      </c>
      <c r="Q7" s="6">
        <v>0.79</v>
      </c>
      <c r="R7" s="7">
        <f>P7/Q7</f>
        <v>12121.518987341771</v>
      </c>
      <c r="S7" s="7">
        <f>R7</f>
        <v>12121.518987341771</v>
      </c>
      <c r="T7" s="8"/>
      <c r="W7" s="5">
        <v>5</v>
      </c>
      <c r="X7" s="5" t="s">
        <v>13</v>
      </c>
      <c r="Y7" s="4">
        <v>32000</v>
      </c>
      <c r="Z7" s="4">
        <f>Y7*W7/100</f>
        <v>1600</v>
      </c>
      <c r="AA7" s="6">
        <v>0.79</v>
      </c>
      <c r="AB7" s="7">
        <f>Z7/AA7</f>
        <v>2025.3164556962024</v>
      </c>
      <c r="AC7" s="7">
        <f>AB7</f>
        <v>2025.3164556962024</v>
      </c>
    </row>
    <row r="8" spans="1:29" x14ac:dyDescent="0.2">
      <c r="A8" s="1">
        <v>128</v>
      </c>
      <c r="B8" s="3" t="s">
        <v>6</v>
      </c>
      <c r="C8" s="5">
        <v>12</v>
      </c>
      <c r="D8" s="9" t="s">
        <v>13</v>
      </c>
      <c r="E8" s="8">
        <v>31800</v>
      </c>
      <c r="F8" s="4">
        <f t="shared" ref="F8:F11" si="0">E8*C8/100</f>
        <v>3816</v>
      </c>
      <c r="G8" s="6">
        <v>0.94</v>
      </c>
      <c r="H8" s="7">
        <f t="shared" ref="H8:H11" si="1">F8/G8</f>
        <v>4059.5744680851067</v>
      </c>
      <c r="I8" s="7">
        <f>H8</f>
        <v>4059.5744680851067</v>
      </c>
      <c r="J8" s="124"/>
      <c r="K8" s="124"/>
      <c r="L8" s="8">
        <v>31800</v>
      </c>
      <c r="M8" s="5">
        <v>12</v>
      </c>
      <c r="N8" s="9" t="s">
        <v>13</v>
      </c>
      <c r="O8" s="4">
        <f>E8+3100</f>
        <v>34900</v>
      </c>
      <c r="P8" s="4">
        <f t="shared" ref="P8:P9" si="2">O8*M8/100</f>
        <v>4188</v>
      </c>
      <c r="Q8" s="6">
        <v>0.94</v>
      </c>
      <c r="R8" s="7">
        <f t="shared" ref="R8:R11" si="3">P8/Q8</f>
        <v>4455.3191489361707</v>
      </c>
      <c r="S8" s="7">
        <f>R8</f>
        <v>4455.3191489361707</v>
      </c>
      <c r="T8" s="8"/>
      <c r="W8" s="5">
        <v>15</v>
      </c>
      <c r="X8" s="9" t="s">
        <v>13</v>
      </c>
      <c r="Y8" s="4">
        <v>42800</v>
      </c>
      <c r="Z8" s="4">
        <f t="shared" ref="Z8:Z9" si="4">Y8*W8/100</f>
        <v>6420</v>
      </c>
      <c r="AA8" s="6">
        <v>0.94</v>
      </c>
      <c r="AB8" s="7">
        <f t="shared" ref="AB8:AB11" si="5">Z8/AA8</f>
        <v>6829.7872340425538</v>
      </c>
      <c r="AC8" s="7">
        <f>AB8</f>
        <v>6829.7872340425538</v>
      </c>
    </row>
    <row r="9" spans="1:29" x14ac:dyDescent="0.2">
      <c r="A9" s="1">
        <v>104</v>
      </c>
      <c r="B9" s="3" t="s">
        <v>7</v>
      </c>
      <c r="C9" s="5">
        <v>10</v>
      </c>
      <c r="D9" s="9" t="s">
        <v>13</v>
      </c>
      <c r="E9" s="8">
        <v>30300</v>
      </c>
      <c r="F9" s="4">
        <f t="shared" si="0"/>
        <v>3030</v>
      </c>
      <c r="G9" s="6">
        <v>0.96</v>
      </c>
      <c r="H9" s="7">
        <f t="shared" si="1"/>
        <v>3156.25</v>
      </c>
      <c r="I9" s="7">
        <f t="shared" ref="I9:I11" si="6">H9</f>
        <v>3156.25</v>
      </c>
      <c r="J9" s="124"/>
      <c r="K9" s="124"/>
      <c r="L9" s="8">
        <v>30300</v>
      </c>
      <c r="M9" s="5">
        <v>50</v>
      </c>
      <c r="N9" s="9" t="s">
        <v>13</v>
      </c>
      <c r="O9" s="82">
        <f>29900-500</f>
        <v>29400</v>
      </c>
      <c r="P9" s="4">
        <f t="shared" si="2"/>
        <v>14700</v>
      </c>
      <c r="Q9" s="6">
        <v>0.96</v>
      </c>
      <c r="R9" s="7">
        <f t="shared" si="3"/>
        <v>15312.5</v>
      </c>
      <c r="S9" s="7">
        <f>R9</f>
        <v>15312.5</v>
      </c>
      <c r="T9" s="8"/>
      <c r="W9" s="5">
        <v>80</v>
      </c>
      <c r="X9" s="9" t="s">
        <v>13</v>
      </c>
      <c r="Y9" s="4">
        <v>39500</v>
      </c>
      <c r="Z9" s="4">
        <f t="shared" si="4"/>
        <v>31600</v>
      </c>
      <c r="AA9" s="6">
        <v>0.96</v>
      </c>
      <c r="AB9" s="7">
        <f t="shared" si="5"/>
        <v>32916.666666666672</v>
      </c>
      <c r="AC9" s="7">
        <f>AB9</f>
        <v>32916.666666666672</v>
      </c>
    </row>
    <row r="10" spans="1:29" x14ac:dyDescent="0.2">
      <c r="B10" s="3" t="s">
        <v>8</v>
      </c>
      <c r="C10" s="5">
        <v>14</v>
      </c>
      <c r="D10" s="5" t="s">
        <v>14</v>
      </c>
      <c r="E10" s="8">
        <v>71.7</v>
      </c>
      <c r="F10" s="4">
        <f>E10*C10</f>
        <v>1003.8000000000001</v>
      </c>
      <c r="G10" s="6">
        <v>1</v>
      </c>
      <c r="H10" s="7">
        <f t="shared" si="1"/>
        <v>1003.8000000000001</v>
      </c>
      <c r="I10" s="7">
        <f t="shared" si="6"/>
        <v>1003.8000000000001</v>
      </c>
      <c r="J10" s="124"/>
      <c r="K10" s="124"/>
      <c r="L10" s="8">
        <v>71.7</v>
      </c>
      <c r="M10" s="5">
        <v>14</v>
      </c>
      <c r="N10" s="5" t="s">
        <v>14</v>
      </c>
      <c r="O10" s="82">
        <f>E10</f>
        <v>71.7</v>
      </c>
      <c r="P10" s="4">
        <f>O10*M10</f>
        <v>1003.8000000000001</v>
      </c>
      <c r="Q10" s="6">
        <v>1</v>
      </c>
      <c r="R10" s="7">
        <f t="shared" si="3"/>
        <v>1003.8000000000001</v>
      </c>
      <c r="S10" s="7">
        <f>R10</f>
        <v>1003.8000000000001</v>
      </c>
      <c r="T10" s="8"/>
      <c r="W10" s="5">
        <v>14</v>
      </c>
      <c r="X10" s="5" t="s">
        <v>14</v>
      </c>
      <c r="Y10" s="4">
        <v>69</v>
      </c>
      <c r="Z10" s="4">
        <f>Y10*W10</f>
        <v>966</v>
      </c>
      <c r="AA10" s="6">
        <v>1</v>
      </c>
      <c r="AB10" s="7">
        <f t="shared" si="5"/>
        <v>966</v>
      </c>
      <c r="AC10" s="7">
        <f>AB10</f>
        <v>966</v>
      </c>
    </row>
    <row r="11" spans="1:29" x14ac:dyDescent="0.2">
      <c r="A11" s="1">
        <v>119</v>
      </c>
      <c r="B11" s="3" t="s">
        <v>15</v>
      </c>
      <c r="C11" s="5">
        <v>10</v>
      </c>
      <c r="D11" s="9" t="s">
        <v>13</v>
      </c>
      <c r="E11" s="8">
        <v>26100</v>
      </c>
      <c r="F11" s="4">
        <f t="shared" si="0"/>
        <v>2610</v>
      </c>
      <c r="G11" s="6">
        <v>0.84</v>
      </c>
      <c r="H11" s="7">
        <f t="shared" si="1"/>
        <v>3107.1428571428573</v>
      </c>
      <c r="I11" s="7">
        <f t="shared" si="6"/>
        <v>3107.1428571428573</v>
      </c>
      <c r="J11" s="124"/>
      <c r="K11" s="124"/>
      <c r="L11" s="8">
        <v>26100</v>
      </c>
      <c r="M11" s="5">
        <v>0</v>
      </c>
      <c r="N11" s="9" t="s">
        <v>13</v>
      </c>
      <c r="O11" s="4">
        <f>E11+3100</f>
        <v>29200</v>
      </c>
      <c r="P11" s="4">
        <f t="shared" ref="P11" si="7">O11*M11/100</f>
        <v>0</v>
      </c>
      <c r="Q11" s="6">
        <v>0.83</v>
      </c>
      <c r="R11" s="7">
        <f t="shared" si="3"/>
        <v>0</v>
      </c>
      <c r="S11" s="7">
        <f>R11</f>
        <v>0</v>
      </c>
      <c r="T11" s="8"/>
      <c r="W11" s="5">
        <v>0</v>
      </c>
      <c r="X11" s="9" t="s">
        <v>13</v>
      </c>
      <c r="Y11" s="4">
        <v>34700</v>
      </c>
      <c r="Z11" s="4">
        <f t="shared" ref="Z11" si="8">Y11*W11/100</f>
        <v>0</v>
      </c>
      <c r="AA11" s="6">
        <v>0.83</v>
      </c>
      <c r="AB11" s="7">
        <f t="shared" si="5"/>
        <v>0</v>
      </c>
      <c r="AC11" s="7">
        <f>AB11</f>
        <v>0</v>
      </c>
    </row>
    <row r="12" spans="1:29" x14ac:dyDescent="0.2">
      <c r="B12" s="3" t="s">
        <v>45</v>
      </c>
      <c r="C12" s="5">
        <v>700</v>
      </c>
      <c r="D12" s="5"/>
      <c r="E12" s="86">
        <v>6.5</v>
      </c>
      <c r="F12" s="4">
        <f>E12*C12</f>
        <v>4550</v>
      </c>
      <c r="G12" s="4"/>
      <c r="H12" s="4"/>
      <c r="I12" s="5">
        <f>E12*C12</f>
        <v>4550</v>
      </c>
      <c r="J12" s="8"/>
      <c r="K12" s="8"/>
      <c r="L12" s="8"/>
      <c r="M12" s="5">
        <v>650</v>
      </c>
      <c r="N12" s="5"/>
      <c r="O12" s="82">
        <v>6.5</v>
      </c>
      <c r="P12" s="4">
        <f>O12*M12</f>
        <v>4225</v>
      </c>
      <c r="Q12" s="4"/>
      <c r="R12" s="4"/>
      <c r="S12" s="5">
        <f>O12*M12</f>
        <v>4225</v>
      </c>
      <c r="T12" s="8"/>
      <c r="W12" s="5">
        <v>650</v>
      </c>
      <c r="X12" s="5"/>
      <c r="Y12" s="4">
        <v>6.5</v>
      </c>
      <c r="Z12" s="4">
        <f>Y12*W12</f>
        <v>4225</v>
      </c>
      <c r="AA12" s="4"/>
      <c r="AB12" s="4"/>
      <c r="AC12" s="5">
        <f>Y12*W12</f>
        <v>4225</v>
      </c>
    </row>
    <row r="13" spans="1:29" x14ac:dyDescent="0.2">
      <c r="B13" s="3" t="s">
        <v>28</v>
      </c>
      <c r="C13" s="5">
        <v>1</v>
      </c>
      <c r="D13" s="5" t="s">
        <v>29</v>
      </c>
      <c r="E13" s="86">
        <v>500</v>
      </c>
      <c r="F13" s="4">
        <f>E13*C13</f>
        <v>500</v>
      </c>
      <c r="G13" s="4"/>
      <c r="H13" s="4"/>
      <c r="I13" s="5">
        <v>550</v>
      </c>
      <c r="J13" s="8"/>
      <c r="K13" s="8"/>
      <c r="L13" s="8"/>
      <c r="M13" s="5">
        <v>1</v>
      </c>
      <c r="N13" s="5" t="s">
        <v>17</v>
      </c>
      <c r="O13" s="82">
        <v>500</v>
      </c>
      <c r="P13" s="4">
        <f>O13*M13</f>
        <v>500</v>
      </c>
      <c r="Q13" s="4"/>
      <c r="R13" s="4"/>
      <c r="S13" s="5">
        <f>O13*M13</f>
        <v>500</v>
      </c>
      <c r="T13" s="8"/>
      <c r="W13" s="5">
        <v>1</v>
      </c>
      <c r="X13" s="5" t="s">
        <v>17</v>
      </c>
      <c r="Y13" s="4">
        <v>500</v>
      </c>
      <c r="Z13" s="4">
        <f>Y13*W13</f>
        <v>500</v>
      </c>
      <c r="AA13" s="4"/>
      <c r="AB13" s="4"/>
      <c r="AC13" s="5">
        <f>Y13*W13</f>
        <v>500</v>
      </c>
    </row>
    <row r="14" spans="1:29" x14ac:dyDescent="0.2">
      <c r="B14" s="3" t="s">
        <v>10</v>
      </c>
      <c r="C14" s="5">
        <v>1</v>
      </c>
      <c r="D14" s="5" t="s">
        <v>29</v>
      </c>
      <c r="E14" s="86">
        <v>550</v>
      </c>
      <c r="F14" s="4">
        <f>E14</f>
        <v>550</v>
      </c>
      <c r="G14" s="4"/>
      <c r="H14" s="4"/>
      <c r="I14" s="5">
        <v>500</v>
      </c>
      <c r="J14" s="8"/>
      <c r="K14" s="8"/>
      <c r="M14" s="5">
        <v>1</v>
      </c>
      <c r="N14" s="5" t="s">
        <v>17</v>
      </c>
      <c r="O14" s="82">
        <v>550</v>
      </c>
      <c r="P14" s="4">
        <f>O14</f>
        <v>550</v>
      </c>
      <c r="Q14" s="4"/>
      <c r="R14" s="4"/>
      <c r="S14" s="5">
        <f>O14*M14</f>
        <v>550</v>
      </c>
      <c r="W14" s="5">
        <v>1</v>
      </c>
      <c r="X14" s="5" t="s">
        <v>17</v>
      </c>
      <c r="Y14" s="4">
        <v>550</v>
      </c>
      <c r="Z14" s="4">
        <f>Y14</f>
        <v>550</v>
      </c>
      <c r="AA14" s="4"/>
      <c r="AB14" s="4"/>
      <c r="AC14" s="5">
        <f>Y14*W14</f>
        <v>550</v>
      </c>
    </row>
    <row r="15" spans="1:29" x14ac:dyDescent="0.2">
      <c r="B15" s="10" t="s">
        <v>65</v>
      </c>
      <c r="C15" s="11"/>
      <c r="D15" s="11"/>
      <c r="E15" s="11"/>
      <c r="F15" s="11"/>
      <c r="G15" s="11"/>
      <c r="H15" s="11"/>
      <c r="I15" s="12">
        <f>SUM(I7:I14)</f>
        <v>35711.767325227964</v>
      </c>
      <c r="J15" s="125"/>
      <c r="K15" s="125"/>
      <c r="L15" s="22"/>
      <c r="M15" s="10" t="str">
        <f>B15</f>
        <v>Billet Cost  (eff 29 oct 25)</v>
      </c>
      <c r="N15" s="11"/>
      <c r="O15" s="11"/>
      <c r="P15" s="11"/>
      <c r="Q15" s="11"/>
      <c r="R15" s="11"/>
      <c r="S15" s="12">
        <f>SUM(S7:S14)</f>
        <v>38168.138136277943</v>
      </c>
      <c r="T15" s="22"/>
      <c r="W15" s="10" t="s">
        <v>24</v>
      </c>
      <c r="X15" s="11"/>
      <c r="Y15" s="11"/>
      <c r="Z15" s="11"/>
      <c r="AA15" s="11"/>
      <c r="AB15" s="11"/>
      <c r="AC15" s="12">
        <f>SUM(AC7:AC14)</f>
        <v>48012.770356405425</v>
      </c>
    </row>
    <row r="16" spans="1:29" x14ac:dyDescent="0.2">
      <c r="B16" s="13" t="s">
        <v>20</v>
      </c>
      <c r="C16" s="14"/>
      <c r="D16" s="14"/>
      <c r="E16" s="14"/>
      <c r="F16" s="14"/>
      <c r="G16" s="14"/>
      <c r="H16" s="14"/>
      <c r="I16" s="15">
        <v>34450</v>
      </c>
      <c r="J16" s="126"/>
      <c r="K16" s="126"/>
      <c r="L16" s="22"/>
      <c r="M16" s="13" t="s">
        <v>20</v>
      </c>
      <c r="N16" s="14"/>
      <c r="O16" s="14"/>
      <c r="P16" s="14"/>
      <c r="Q16" s="14"/>
      <c r="R16" s="14"/>
      <c r="S16" s="15">
        <f>38050-500</f>
        <v>37550</v>
      </c>
      <c r="T16" s="22"/>
      <c r="W16" s="13" t="s">
        <v>20</v>
      </c>
      <c r="X16" s="14"/>
      <c r="Y16" s="14"/>
      <c r="Z16" s="14"/>
      <c r="AA16" s="14"/>
      <c r="AB16" s="14"/>
      <c r="AC16" s="15">
        <v>46900</v>
      </c>
    </row>
    <row r="17" spans="1:29" x14ac:dyDescent="0.2">
      <c r="B17" s="16" t="s">
        <v>21</v>
      </c>
      <c r="C17" s="17"/>
      <c r="D17" s="17"/>
      <c r="E17" s="17"/>
      <c r="F17" s="17"/>
      <c r="G17" s="17"/>
      <c r="H17" s="17"/>
      <c r="I17" s="18">
        <f>I16-I15</f>
        <v>-1261.7673252279637</v>
      </c>
      <c r="J17" s="19"/>
      <c r="K17" s="19"/>
      <c r="L17" s="22"/>
      <c r="M17" s="16" t="s">
        <v>21</v>
      </c>
      <c r="N17" s="17"/>
      <c r="O17" s="17"/>
      <c r="P17" s="17"/>
      <c r="Q17" s="17"/>
      <c r="R17" s="17"/>
      <c r="S17" s="18">
        <f>S16-S15</f>
        <v>-618.13813627794298</v>
      </c>
      <c r="T17" s="22"/>
      <c r="W17" s="16" t="s">
        <v>21</v>
      </c>
      <c r="X17" s="17"/>
      <c r="Y17" s="17"/>
      <c r="Z17" s="17"/>
      <c r="AA17" s="17"/>
      <c r="AB17" s="17"/>
      <c r="AC17" s="18">
        <f>AC16-AC15</f>
        <v>-1112.7703564054245</v>
      </c>
    </row>
    <row r="18" spans="1:29" x14ac:dyDescent="0.2">
      <c r="B18" s="2"/>
      <c r="C18" s="2"/>
      <c r="D18" s="2"/>
      <c r="E18" s="2"/>
      <c r="F18" s="2"/>
      <c r="G18" s="2"/>
      <c r="H18" s="2"/>
      <c r="I18" s="19"/>
      <c r="J18" s="19"/>
      <c r="K18" s="19"/>
      <c r="M18" s="2"/>
      <c r="N18" s="2"/>
      <c r="O18" s="2"/>
      <c r="P18" s="2"/>
      <c r="Q18" s="2"/>
      <c r="R18" s="2"/>
      <c r="S18" s="19"/>
      <c r="W18" s="2"/>
      <c r="X18" s="2"/>
      <c r="Y18" s="2"/>
      <c r="Z18" s="2"/>
      <c r="AA18" s="2"/>
      <c r="AB18" s="2"/>
      <c r="AC18" s="19"/>
    </row>
    <row r="19" spans="1:29" x14ac:dyDescent="0.2">
      <c r="B19" s="2" t="s">
        <v>0</v>
      </c>
    </row>
    <row r="21" spans="1:29" x14ac:dyDescent="0.2">
      <c r="B21" s="3" t="s">
        <v>1</v>
      </c>
      <c r="C21" s="149" t="s">
        <v>22</v>
      </c>
      <c r="D21" s="149"/>
      <c r="E21" s="149"/>
      <c r="F21" s="149"/>
      <c r="G21" s="20"/>
      <c r="I21" s="2"/>
      <c r="J21" s="2"/>
      <c r="K21" s="2"/>
      <c r="L21" s="2"/>
      <c r="M21" s="3"/>
      <c r="N21" s="149" t="s">
        <v>23</v>
      </c>
      <c r="O21" s="149"/>
      <c r="P21" s="149"/>
      <c r="Q21" s="149"/>
      <c r="W21" s="3"/>
      <c r="X21" s="149" t="s">
        <v>23</v>
      </c>
      <c r="Y21" s="149"/>
      <c r="Z21" s="149"/>
      <c r="AA21" s="149"/>
    </row>
    <row r="22" spans="1:29" x14ac:dyDescent="0.2">
      <c r="B22" s="3" t="s">
        <v>2</v>
      </c>
      <c r="C22" s="3" t="s">
        <v>11</v>
      </c>
      <c r="D22" s="3" t="s">
        <v>12</v>
      </c>
      <c r="E22" s="3" t="s">
        <v>4</v>
      </c>
      <c r="F22" s="3" t="s">
        <v>18</v>
      </c>
      <c r="M22" s="3" t="s">
        <v>2</v>
      </c>
      <c r="N22" s="25" t="s">
        <v>11</v>
      </c>
      <c r="O22" s="25" t="s">
        <v>12</v>
      </c>
      <c r="P22" s="25" t="s">
        <v>4</v>
      </c>
      <c r="Q22" s="35" t="s">
        <v>18</v>
      </c>
      <c r="W22" s="3" t="s">
        <v>2</v>
      </c>
      <c r="X22" s="3" t="s">
        <v>11</v>
      </c>
      <c r="Y22" s="25" t="s">
        <v>12</v>
      </c>
      <c r="Z22" s="25" t="s">
        <v>4</v>
      </c>
      <c r="AA22" s="35" t="s">
        <v>18</v>
      </c>
    </row>
    <row r="23" spans="1:29" x14ac:dyDescent="0.2">
      <c r="B23" s="4"/>
      <c r="C23" s="4"/>
      <c r="D23" s="4"/>
      <c r="E23" s="4" t="s">
        <v>41</v>
      </c>
      <c r="F23" s="4"/>
      <c r="G23" s="8"/>
      <c r="M23" s="4"/>
      <c r="N23" s="5"/>
      <c r="O23" s="5"/>
      <c r="P23" s="5"/>
      <c r="Q23" s="5"/>
      <c r="W23" s="4"/>
      <c r="X23" s="4"/>
      <c r="Y23" s="5"/>
      <c r="Z23" s="5"/>
      <c r="AA23" s="43"/>
    </row>
    <row r="24" spans="1:29" x14ac:dyDescent="0.2">
      <c r="A24" s="1">
        <v>850</v>
      </c>
      <c r="B24" s="3" t="s">
        <v>16</v>
      </c>
      <c r="C24" s="5">
        <f>C7*10/G7</f>
        <v>850</v>
      </c>
      <c r="D24" s="5" t="s">
        <v>14</v>
      </c>
      <c r="E24" s="4">
        <f>E7/1000</f>
        <v>22.1</v>
      </c>
      <c r="F24" s="21">
        <f>E24*C24</f>
        <v>18785</v>
      </c>
      <c r="L24" s="84"/>
      <c r="M24" s="3" t="s">
        <v>16</v>
      </c>
      <c r="N24" s="7">
        <v>480</v>
      </c>
      <c r="O24" s="5" t="s">
        <v>14</v>
      </c>
      <c r="P24" s="7">
        <f>O7/1000</f>
        <v>25.2</v>
      </c>
      <c r="Q24" s="44">
        <f>P24*N24</f>
        <v>12096</v>
      </c>
      <c r="W24" s="3" t="s">
        <v>16</v>
      </c>
      <c r="X24" s="7">
        <f>W7/AA7*10</f>
        <v>63.291139240506325</v>
      </c>
      <c r="Y24" s="5" t="s">
        <v>14</v>
      </c>
      <c r="Z24" s="7">
        <v>32</v>
      </c>
      <c r="AA24" s="44">
        <f>Z24*X24</f>
        <v>2025.3164556962024</v>
      </c>
    </row>
    <row r="25" spans="1:29" x14ac:dyDescent="0.2">
      <c r="A25" s="1">
        <v>128</v>
      </c>
      <c r="B25" s="3" t="s">
        <v>6</v>
      </c>
      <c r="C25" s="7">
        <f>C8*10/G8</f>
        <v>127.65957446808511</v>
      </c>
      <c r="D25" s="9" t="s">
        <v>14</v>
      </c>
      <c r="E25" s="4">
        <f>E8/1000</f>
        <v>31.8</v>
      </c>
      <c r="F25" s="21">
        <f t="shared" ref="F25:F28" si="9">E25*C25</f>
        <v>4059.5744680851067</v>
      </c>
      <c r="I25" s="22"/>
      <c r="J25" s="22"/>
      <c r="K25" s="22"/>
      <c r="L25" s="84"/>
      <c r="M25" s="3" t="s">
        <v>6</v>
      </c>
      <c r="N25" s="7">
        <v>130</v>
      </c>
      <c r="O25" s="5" t="s">
        <v>14</v>
      </c>
      <c r="P25" s="7">
        <f>O8/1000</f>
        <v>34.9</v>
      </c>
      <c r="Q25" s="44">
        <f t="shared" ref="Q25:Q31" si="10">P25*N25</f>
        <v>4537</v>
      </c>
      <c r="W25" s="3" t="s">
        <v>6</v>
      </c>
      <c r="X25" s="7">
        <f t="shared" ref="X25:X26" si="11">W8/AA8*10</f>
        <v>159.57446808510639</v>
      </c>
      <c r="Y25" s="5" t="s">
        <v>14</v>
      </c>
      <c r="Z25" s="7">
        <v>42.8</v>
      </c>
      <c r="AA25" s="44">
        <f t="shared" ref="AA25:AA31" si="12">Z25*X25</f>
        <v>6829.7872340425529</v>
      </c>
    </row>
    <row r="26" spans="1:29" x14ac:dyDescent="0.2">
      <c r="A26" s="1">
        <v>104</v>
      </c>
      <c r="B26" s="3" t="s">
        <v>7</v>
      </c>
      <c r="C26" s="7">
        <f>C9/G9*10</f>
        <v>104.16666666666669</v>
      </c>
      <c r="D26" s="9" t="s">
        <v>14</v>
      </c>
      <c r="E26" s="4">
        <f>E9/1000</f>
        <v>30.3</v>
      </c>
      <c r="F26" s="21">
        <f t="shared" si="9"/>
        <v>3156.2500000000005</v>
      </c>
      <c r="I26" s="22"/>
      <c r="J26" s="22"/>
      <c r="K26" s="22"/>
      <c r="L26" s="84"/>
      <c r="M26" s="3" t="s">
        <v>7</v>
      </c>
      <c r="N26" s="7">
        <v>530</v>
      </c>
      <c r="O26" s="5" t="s">
        <v>14</v>
      </c>
      <c r="P26" s="7">
        <f>O9/1000</f>
        <v>29.4</v>
      </c>
      <c r="Q26" s="44">
        <f t="shared" si="10"/>
        <v>15582</v>
      </c>
      <c r="W26" s="3" t="s">
        <v>7</v>
      </c>
      <c r="X26" s="7">
        <f t="shared" si="11"/>
        <v>833.33333333333348</v>
      </c>
      <c r="Y26" s="5" t="s">
        <v>14</v>
      </c>
      <c r="Z26" s="7">
        <v>39.5</v>
      </c>
      <c r="AA26" s="44">
        <f t="shared" si="12"/>
        <v>32916.666666666672</v>
      </c>
    </row>
    <row r="27" spans="1:29" x14ac:dyDescent="0.2">
      <c r="B27" s="3" t="s">
        <v>8</v>
      </c>
      <c r="C27" s="5">
        <v>14</v>
      </c>
      <c r="D27" s="5" t="s">
        <v>14</v>
      </c>
      <c r="E27" s="4">
        <f>E10</f>
        <v>71.7</v>
      </c>
      <c r="F27" s="21">
        <f>E27*C27</f>
        <v>1003.8000000000001</v>
      </c>
      <c r="L27" s="85"/>
      <c r="M27" s="3" t="s">
        <v>8</v>
      </c>
      <c r="N27" s="7">
        <v>14</v>
      </c>
      <c r="O27" s="5" t="s">
        <v>14</v>
      </c>
      <c r="P27" s="7">
        <f>O10</f>
        <v>71.7</v>
      </c>
      <c r="Q27" s="44">
        <f t="shared" si="10"/>
        <v>1003.8000000000001</v>
      </c>
      <c r="W27" s="3" t="s">
        <v>8</v>
      </c>
      <c r="X27" s="7">
        <v>14</v>
      </c>
      <c r="Y27" s="5" t="s">
        <v>14</v>
      </c>
      <c r="Z27" s="7">
        <v>69</v>
      </c>
      <c r="AA27" s="44">
        <f t="shared" si="12"/>
        <v>966</v>
      </c>
    </row>
    <row r="28" spans="1:29" x14ac:dyDescent="0.2">
      <c r="A28" s="1">
        <v>119</v>
      </c>
      <c r="B28" s="3" t="s">
        <v>15</v>
      </c>
      <c r="C28" s="7">
        <f>C11/G11*10</f>
        <v>119.04761904761905</v>
      </c>
      <c r="D28" s="9" t="s">
        <v>14</v>
      </c>
      <c r="E28" s="4">
        <f>E11/1000</f>
        <v>26.1</v>
      </c>
      <c r="F28" s="21">
        <f t="shared" si="9"/>
        <v>3107.1428571428573</v>
      </c>
      <c r="L28" s="85"/>
      <c r="M28" s="3" t="s">
        <v>15</v>
      </c>
      <c r="N28" s="7">
        <v>0</v>
      </c>
      <c r="O28" s="5" t="s">
        <v>14</v>
      </c>
      <c r="P28" s="7">
        <f>O11/1000</f>
        <v>29.2</v>
      </c>
      <c r="Q28" s="44">
        <f t="shared" si="10"/>
        <v>0</v>
      </c>
      <c r="W28" s="3" t="s">
        <v>15</v>
      </c>
      <c r="X28" s="7">
        <v>0</v>
      </c>
      <c r="Y28" s="5" t="s">
        <v>14</v>
      </c>
      <c r="Z28" s="7">
        <v>34.700000000000003</v>
      </c>
      <c r="AA28" s="44">
        <f t="shared" si="12"/>
        <v>0</v>
      </c>
    </row>
    <row r="29" spans="1:29" x14ac:dyDescent="0.2">
      <c r="B29" s="3" t="s">
        <v>9</v>
      </c>
      <c r="C29" s="5">
        <v>700</v>
      </c>
      <c r="D29" s="5" t="s">
        <v>42</v>
      </c>
      <c r="E29" s="4">
        <f>E12</f>
        <v>6.5</v>
      </c>
      <c r="F29" s="21">
        <f>E29*C29</f>
        <v>4550</v>
      </c>
      <c r="L29" s="85"/>
      <c r="M29" s="3" t="s">
        <v>9</v>
      </c>
      <c r="N29" s="7">
        <v>650</v>
      </c>
      <c r="O29" s="5" t="s">
        <v>42</v>
      </c>
      <c r="P29" s="5">
        <f>O12</f>
        <v>6.5</v>
      </c>
      <c r="Q29" s="44">
        <f t="shared" si="10"/>
        <v>4225</v>
      </c>
      <c r="W29" s="3" t="s">
        <v>9</v>
      </c>
      <c r="X29" s="7">
        <v>750</v>
      </c>
      <c r="Y29" s="5" t="s">
        <v>42</v>
      </c>
      <c r="Z29" s="5">
        <v>6.5</v>
      </c>
      <c r="AA29" s="44">
        <f t="shared" si="12"/>
        <v>4875</v>
      </c>
    </row>
    <row r="30" spans="1:29" x14ac:dyDescent="0.2">
      <c r="B30" s="3" t="s">
        <v>28</v>
      </c>
      <c r="C30" s="5">
        <v>1</v>
      </c>
      <c r="D30" s="5" t="s">
        <v>29</v>
      </c>
      <c r="E30" s="4">
        <f>E13</f>
        <v>500</v>
      </c>
      <c r="F30" s="21">
        <f>E30*C30</f>
        <v>500</v>
      </c>
      <c r="L30" s="85"/>
      <c r="M30" s="3" t="s">
        <v>28</v>
      </c>
      <c r="N30" s="7">
        <v>1</v>
      </c>
      <c r="O30" s="5" t="s">
        <v>17</v>
      </c>
      <c r="P30" s="5">
        <f>O13</f>
        <v>500</v>
      </c>
      <c r="Q30" s="44">
        <f t="shared" si="10"/>
        <v>500</v>
      </c>
      <c r="W30" s="3" t="s">
        <v>28</v>
      </c>
      <c r="X30" s="7">
        <v>1</v>
      </c>
      <c r="Y30" s="5" t="s">
        <v>17</v>
      </c>
      <c r="Z30" s="5">
        <v>500</v>
      </c>
      <c r="AA30" s="44">
        <f t="shared" si="12"/>
        <v>500</v>
      </c>
    </row>
    <row r="31" spans="1:29" x14ac:dyDescent="0.2">
      <c r="B31" s="3" t="s">
        <v>10</v>
      </c>
      <c r="C31" s="5">
        <v>1</v>
      </c>
      <c r="D31" s="5" t="s">
        <v>29</v>
      </c>
      <c r="E31" s="4">
        <f>E14</f>
        <v>550</v>
      </c>
      <c r="F31" s="21">
        <f>E31</f>
        <v>550</v>
      </c>
      <c r="L31" s="85"/>
      <c r="M31" s="3" t="s">
        <v>10</v>
      </c>
      <c r="N31" s="7">
        <v>1</v>
      </c>
      <c r="O31" s="5" t="s">
        <v>17</v>
      </c>
      <c r="P31" s="5">
        <f>O14</f>
        <v>550</v>
      </c>
      <c r="Q31" s="44">
        <f t="shared" si="10"/>
        <v>550</v>
      </c>
      <c r="W31" s="3" t="s">
        <v>10</v>
      </c>
      <c r="X31" s="7">
        <v>1</v>
      </c>
      <c r="Y31" s="5" t="s">
        <v>17</v>
      </c>
      <c r="Z31" s="5">
        <v>550</v>
      </c>
      <c r="AA31" s="44">
        <f t="shared" si="12"/>
        <v>550</v>
      </c>
    </row>
    <row r="32" spans="1:29" x14ac:dyDescent="0.2">
      <c r="B32" s="10" t="str">
        <f>B15</f>
        <v>Billet Cost  (eff 29 oct 25)</v>
      </c>
      <c r="C32" s="11"/>
      <c r="D32" s="11"/>
      <c r="E32" s="11"/>
      <c r="F32" s="41">
        <f>SUM(F24:F31)</f>
        <v>35711.767325227964</v>
      </c>
      <c r="M32" s="10" t="str">
        <f>B32</f>
        <v>Billet Cost  (eff 29 oct 25)</v>
      </c>
      <c r="N32" s="11"/>
      <c r="O32" s="11"/>
      <c r="P32" s="11"/>
      <c r="Q32" s="41">
        <f>SUM(Q24:Q31)</f>
        <v>38493.800000000003</v>
      </c>
      <c r="W32" s="10" t="s">
        <v>24</v>
      </c>
      <c r="X32" s="11"/>
      <c r="Y32" s="11"/>
      <c r="Z32" s="11"/>
      <c r="AA32" s="41">
        <f>SUM(AA24:AA31)</f>
        <v>48662.770356405425</v>
      </c>
    </row>
    <row r="33" spans="2:31" x14ac:dyDescent="0.2">
      <c r="B33" s="13" t="s">
        <v>20</v>
      </c>
      <c r="C33" s="14"/>
      <c r="D33" s="14"/>
      <c r="E33" s="14"/>
      <c r="F33" s="42">
        <f>I16</f>
        <v>34450</v>
      </c>
      <c r="M33" s="13" t="s">
        <v>20</v>
      </c>
      <c r="N33" s="14"/>
      <c r="O33" s="14"/>
      <c r="P33" s="14"/>
      <c r="Q33" s="42">
        <v>40200</v>
      </c>
      <c r="W33" s="13" t="s">
        <v>20</v>
      </c>
      <c r="X33" s="14"/>
      <c r="Y33" s="14"/>
      <c r="Z33" s="14"/>
      <c r="AA33" s="42">
        <v>46900</v>
      </c>
    </row>
    <row r="34" spans="2:31" x14ac:dyDescent="0.2">
      <c r="B34" s="16" t="s">
        <v>48</v>
      </c>
      <c r="C34" s="17"/>
      <c r="D34" s="17"/>
      <c r="E34" s="17"/>
      <c r="F34" s="23">
        <f>F33-F32</f>
        <v>-1261.7673252279637</v>
      </c>
      <c r="M34" s="16" t="s">
        <v>48</v>
      </c>
      <c r="N34" s="17"/>
      <c r="O34" s="17"/>
      <c r="P34" s="17"/>
      <c r="Q34" s="23">
        <f>Q33-Q32</f>
        <v>1706.1999999999971</v>
      </c>
      <c r="W34" s="16" t="s">
        <v>48</v>
      </c>
      <c r="X34" s="17"/>
      <c r="Y34" s="17"/>
      <c r="Z34" s="17"/>
      <c r="AA34" s="23">
        <f>AA33-AA32</f>
        <v>-1762.7703564054245</v>
      </c>
    </row>
    <row r="35" spans="2:31" x14ac:dyDescent="0.2">
      <c r="B35" s="2"/>
      <c r="C35" s="2"/>
      <c r="D35" s="2"/>
      <c r="E35" s="2"/>
      <c r="F35" s="2"/>
      <c r="G35" s="2"/>
      <c r="H35" s="2"/>
      <c r="I35" s="19"/>
      <c r="J35" s="19"/>
      <c r="K35" s="19"/>
      <c r="L35" s="19"/>
      <c r="M35" s="2"/>
      <c r="N35" s="2"/>
      <c r="O35" s="2"/>
      <c r="P35" s="2"/>
      <c r="Q35" s="2"/>
      <c r="R35" s="2"/>
      <c r="S35" s="19"/>
      <c r="W35" s="2"/>
      <c r="X35" s="2"/>
      <c r="Y35" s="2"/>
      <c r="Z35" s="2"/>
      <c r="AA35" s="2"/>
      <c r="AB35" s="2"/>
      <c r="AC35" s="19"/>
    </row>
    <row r="36" spans="2:31" x14ac:dyDescent="0.2">
      <c r="B36" s="2"/>
      <c r="C36" s="2"/>
      <c r="D36" s="2"/>
      <c r="E36" s="2"/>
      <c r="F36" s="2"/>
      <c r="G36" s="2"/>
      <c r="H36" s="2"/>
      <c r="I36" s="19"/>
      <c r="J36" s="19"/>
      <c r="K36" s="19"/>
      <c r="M36" s="2"/>
      <c r="N36" s="2"/>
      <c r="O36" s="2"/>
      <c r="P36" s="2"/>
      <c r="Q36" s="2"/>
      <c r="R36" s="2"/>
      <c r="S36" s="19"/>
      <c r="W36" s="2"/>
      <c r="X36" s="2"/>
      <c r="Y36" s="2"/>
      <c r="Z36" s="2"/>
      <c r="AA36" s="2"/>
      <c r="AB36" s="2"/>
      <c r="AC36" s="19"/>
    </row>
    <row r="38" spans="2:31" x14ac:dyDescent="0.2">
      <c r="B38" s="116" t="s">
        <v>25</v>
      </c>
      <c r="C38" s="150" t="s">
        <v>38</v>
      </c>
      <c r="D38" s="150"/>
      <c r="E38" s="150"/>
      <c r="F38" s="150"/>
      <c r="G38" s="148" t="s">
        <v>37</v>
      </c>
      <c r="H38" s="148"/>
      <c r="I38" s="148"/>
      <c r="J38" s="148"/>
      <c r="K38" s="148"/>
      <c r="L38" s="148"/>
      <c r="M38" s="116" t="s">
        <v>25</v>
      </c>
      <c r="N38" s="150" t="s">
        <v>38</v>
      </c>
      <c r="O38" s="150"/>
      <c r="P38" s="150"/>
      <c r="Q38" s="150"/>
      <c r="R38" s="148" t="s">
        <v>37</v>
      </c>
      <c r="S38" s="148"/>
      <c r="T38" s="148"/>
      <c r="U38" s="148"/>
      <c r="W38" s="24" t="s">
        <v>25</v>
      </c>
      <c r="X38" s="148" t="s">
        <v>38</v>
      </c>
      <c r="Y38" s="148"/>
      <c r="Z38" s="148"/>
      <c r="AA38" s="148"/>
      <c r="AB38" s="148" t="s">
        <v>37</v>
      </c>
      <c r="AC38" s="148"/>
      <c r="AD38" s="148"/>
      <c r="AE38" s="148"/>
    </row>
    <row r="39" spans="2:31" x14ac:dyDescent="0.2">
      <c r="B39" s="117"/>
      <c r="C39" s="117"/>
      <c r="D39" s="117"/>
      <c r="E39" s="117"/>
      <c r="F39" s="117"/>
      <c r="G39" s="5"/>
      <c r="H39" s="5"/>
      <c r="I39" s="5"/>
      <c r="J39" s="5"/>
      <c r="K39" s="5"/>
      <c r="L39" s="5"/>
      <c r="M39" s="117"/>
      <c r="N39" s="117"/>
      <c r="O39" s="117"/>
      <c r="P39" s="117"/>
      <c r="Q39" s="117"/>
      <c r="R39" s="5"/>
      <c r="S39" s="5"/>
      <c r="T39" s="5"/>
      <c r="U39" s="5"/>
      <c r="W39" s="5"/>
      <c r="X39" s="5"/>
      <c r="Y39" s="5"/>
      <c r="Z39" s="5"/>
      <c r="AA39" s="5"/>
      <c r="AB39" s="5"/>
      <c r="AC39" s="5"/>
      <c r="AD39" s="5"/>
      <c r="AE39" s="5"/>
    </row>
    <row r="40" spans="2:31" x14ac:dyDescent="0.2">
      <c r="B40" s="116" t="s">
        <v>2</v>
      </c>
      <c r="C40" s="116" t="s">
        <v>11</v>
      </c>
      <c r="D40" s="116" t="s">
        <v>12</v>
      </c>
      <c r="E40" s="116" t="s">
        <v>4</v>
      </c>
      <c r="F40" s="116" t="s">
        <v>18</v>
      </c>
      <c r="G40" s="24" t="s">
        <v>11</v>
      </c>
      <c r="H40" s="24" t="s">
        <v>12</v>
      </c>
      <c r="I40" s="24" t="s">
        <v>4</v>
      </c>
      <c r="J40" s="24"/>
      <c r="K40" s="24"/>
      <c r="L40" s="24" t="s">
        <v>18</v>
      </c>
      <c r="M40" s="116" t="s">
        <v>2</v>
      </c>
      <c r="N40" s="116" t="s">
        <v>11</v>
      </c>
      <c r="O40" s="116" t="s">
        <v>12</v>
      </c>
      <c r="P40" s="116" t="s">
        <v>4</v>
      </c>
      <c r="Q40" s="116" t="s">
        <v>18</v>
      </c>
      <c r="R40" s="24" t="s">
        <v>11</v>
      </c>
      <c r="S40" s="24" t="s">
        <v>12</v>
      </c>
      <c r="T40" s="24" t="s">
        <v>4</v>
      </c>
      <c r="U40" s="24" t="s">
        <v>18</v>
      </c>
      <c r="W40" s="24" t="s">
        <v>2</v>
      </c>
      <c r="X40" s="24" t="s">
        <v>11</v>
      </c>
      <c r="Y40" s="24" t="s">
        <v>12</v>
      </c>
      <c r="Z40" s="24" t="s">
        <v>4</v>
      </c>
      <c r="AA40" s="24" t="s">
        <v>18</v>
      </c>
      <c r="AB40" s="24" t="s">
        <v>11</v>
      </c>
      <c r="AC40" s="24" t="s">
        <v>12</v>
      </c>
      <c r="AD40" s="24" t="s">
        <v>4</v>
      </c>
      <c r="AE40" s="24" t="s">
        <v>18</v>
      </c>
    </row>
    <row r="41" spans="2:31" x14ac:dyDescent="0.2">
      <c r="B41" s="118" t="s">
        <v>43</v>
      </c>
      <c r="C41" s="116"/>
      <c r="D41" s="116"/>
      <c r="E41" s="116"/>
      <c r="F41" s="120">
        <f>F32</f>
        <v>35711.767325227964</v>
      </c>
      <c r="G41" s="25"/>
      <c r="H41" s="25"/>
      <c r="I41" s="25"/>
      <c r="J41" s="25"/>
      <c r="K41" s="25"/>
      <c r="L41" s="26">
        <f>F32</f>
        <v>35711.767325227964</v>
      </c>
      <c r="M41" s="116"/>
      <c r="N41" s="116"/>
      <c r="O41" s="116"/>
      <c r="P41" s="116"/>
      <c r="Q41" s="116">
        <f>Q33</f>
        <v>40200</v>
      </c>
      <c r="R41" s="25"/>
      <c r="S41" s="25"/>
      <c r="T41" s="25"/>
      <c r="U41" s="25">
        <f>Q33</f>
        <v>40200</v>
      </c>
      <c r="W41" s="25"/>
      <c r="X41" s="25"/>
      <c r="Y41" s="25"/>
      <c r="Z41" s="25"/>
      <c r="AA41" s="25"/>
      <c r="AB41" s="25"/>
      <c r="AC41" s="25"/>
      <c r="AD41" s="25"/>
      <c r="AE41" s="25"/>
    </row>
    <row r="42" spans="2:31" x14ac:dyDescent="0.2">
      <c r="B42" s="118" t="s">
        <v>26</v>
      </c>
      <c r="C42" s="117">
        <v>0.8</v>
      </c>
      <c r="D42" s="117" t="s">
        <v>13</v>
      </c>
      <c r="E42" s="119">
        <f>I15</f>
        <v>35711.767325227964</v>
      </c>
      <c r="F42" s="119">
        <f>E42*C42/100</f>
        <v>285.69413860182374</v>
      </c>
      <c r="G42" s="5">
        <v>1.2</v>
      </c>
      <c r="H42" s="5" t="s">
        <v>13</v>
      </c>
      <c r="I42" s="7">
        <f>E42</f>
        <v>35711.767325227964</v>
      </c>
      <c r="J42" s="7"/>
      <c r="K42" s="7"/>
      <c r="L42" s="7">
        <f>I42*G42/100</f>
        <v>428.54120790273555</v>
      </c>
      <c r="M42" s="118" t="s">
        <v>26</v>
      </c>
      <c r="N42" s="117">
        <v>0.8</v>
      </c>
      <c r="O42" s="117" t="s">
        <v>13</v>
      </c>
      <c r="P42" s="119">
        <f>S15</f>
        <v>38168.138136277943</v>
      </c>
      <c r="Q42" s="119">
        <f>P42*N42/100</f>
        <v>305.34510509022357</v>
      </c>
      <c r="R42" s="5">
        <v>1.2</v>
      </c>
      <c r="S42" s="5" t="s">
        <v>13</v>
      </c>
      <c r="T42" s="7">
        <f>P42</f>
        <v>38168.138136277943</v>
      </c>
      <c r="U42" s="7">
        <f>T42*R42/100</f>
        <v>458.0176576353353</v>
      </c>
      <c r="W42" s="36" t="s">
        <v>26</v>
      </c>
      <c r="X42" s="5">
        <v>1</v>
      </c>
      <c r="Y42" s="5" t="s">
        <v>13</v>
      </c>
      <c r="Z42" s="7">
        <f>AC15</f>
        <v>48012.770356405425</v>
      </c>
      <c r="AA42" s="7">
        <f>Z42*X42/100</f>
        <v>480.12770356405423</v>
      </c>
      <c r="AB42" s="5">
        <v>1.5</v>
      </c>
      <c r="AC42" s="5" t="s">
        <v>13</v>
      </c>
      <c r="AD42" s="7">
        <f>Z42</f>
        <v>48012.770356405425</v>
      </c>
      <c r="AE42" s="7">
        <f>AD42*AB42/100</f>
        <v>720.19155534608149</v>
      </c>
    </row>
    <row r="43" spans="2:31" x14ac:dyDescent="0.2">
      <c r="B43" s="118" t="s">
        <v>9</v>
      </c>
      <c r="C43" s="117">
        <v>120</v>
      </c>
      <c r="D43" s="117" t="s">
        <v>27</v>
      </c>
      <c r="E43" s="117">
        <v>6.5</v>
      </c>
      <c r="F43" s="119">
        <f>E43*C43</f>
        <v>780</v>
      </c>
      <c r="G43" s="5">
        <v>120</v>
      </c>
      <c r="H43" s="5" t="s">
        <v>27</v>
      </c>
      <c r="I43" s="5">
        <v>6.5</v>
      </c>
      <c r="J43" s="5"/>
      <c r="K43" s="5"/>
      <c r="L43" s="7">
        <f>I43*G43</f>
        <v>780</v>
      </c>
      <c r="M43" s="118" t="s">
        <v>9</v>
      </c>
      <c r="N43" s="117">
        <v>120</v>
      </c>
      <c r="O43" s="117" t="s">
        <v>27</v>
      </c>
      <c r="P43" s="117">
        <v>6.5</v>
      </c>
      <c r="Q43" s="119">
        <f>P43*N43</f>
        <v>780</v>
      </c>
      <c r="R43" s="5">
        <v>120</v>
      </c>
      <c r="S43" s="5" t="s">
        <v>27</v>
      </c>
      <c r="T43" s="5">
        <v>6.5</v>
      </c>
      <c r="U43" s="7">
        <f>T43*R43</f>
        <v>780</v>
      </c>
      <c r="W43" s="36" t="s">
        <v>9</v>
      </c>
      <c r="X43" s="5">
        <v>120</v>
      </c>
      <c r="Y43" s="5" t="s">
        <v>27</v>
      </c>
      <c r="Z43" s="5">
        <v>6.5</v>
      </c>
      <c r="AA43" s="7">
        <f>Z43*X43</f>
        <v>780</v>
      </c>
      <c r="AB43" s="5">
        <v>125</v>
      </c>
      <c r="AC43" s="5" t="s">
        <v>27</v>
      </c>
      <c r="AD43" s="5">
        <v>6.5</v>
      </c>
      <c r="AE43" s="7">
        <f>AD43*AB43</f>
        <v>812.5</v>
      </c>
    </row>
    <row r="44" spans="2:31" x14ac:dyDescent="0.2">
      <c r="B44" s="118" t="s">
        <v>28</v>
      </c>
      <c r="C44" s="117">
        <v>1</v>
      </c>
      <c r="D44" s="117" t="s">
        <v>29</v>
      </c>
      <c r="E44" s="117">
        <v>400</v>
      </c>
      <c r="F44" s="117">
        <f>E44*C44</f>
        <v>400</v>
      </c>
      <c r="G44" s="5">
        <v>1</v>
      </c>
      <c r="H44" s="5" t="s">
        <v>29</v>
      </c>
      <c r="I44" s="5">
        <v>400</v>
      </c>
      <c r="J44" s="5"/>
      <c r="K44" s="5"/>
      <c r="L44" s="5">
        <f>I44*G44</f>
        <v>400</v>
      </c>
      <c r="M44" s="118" t="s">
        <v>28</v>
      </c>
      <c r="N44" s="117">
        <v>1</v>
      </c>
      <c r="O44" s="117" t="s">
        <v>29</v>
      </c>
      <c r="P44" s="117">
        <v>400</v>
      </c>
      <c r="Q44" s="117">
        <f>P44*N44</f>
        <v>400</v>
      </c>
      <c r="R44" s="5">
        <v>1</v>
      </c>
      <c r="S44" s="5" t="s">
        <v>29</v>
      </c>
      <c r="T44" s="5">
        <v>400</v>
      </c>
      <c r="U44" s="5">
        <f>T44*R44</f>
        <v>400</v>
      </c>
      <c r="W44" s="36" t="s">
        <v>28</v>
      </c>
      <c r="X44" s="5">
        <v>1</v>
      </c>
      <c r="Y44" s="5" t="s">
        <v>29</v>
      </c>
      <c r="Z44" s="5">
        <v>400</v>
      </c>
      <c r="AA44" s="5">
        <f>Z44*X44</f>
        <v>400</v>
      </c>
      <c r="AB44" s="5">
        <v>1</v>
      </c>
      <c r="AC44" s="5" t="s">
        <v>29</v>
      </c>
      <c r="AD44" s="5">
        <v>400</v>
      </c>
      <c r="AE44" s="5">
        <f>AD44*AB44</f>
        <v>400</v>
      </c>
    </row>
    <row r="45" spans="2:31" x14ac:dyDescent="0.2">
      <c r="B45" s="118" t="s">
        <v>10</v>
      </c>
      <c r="C45" s="117">
        <v>1</v>
      </c>
      <c r="D45" s="117" t="s">
        <v>29</v>
      </c>
      <c r="E45" s="117">
        <v>700</v>
      </c>
      <c r="F45" s="117">
        <f>E45*C45</f>
        <v>700</v>
      </c>
      <c r="G45" s="5">
        <v>1</v>
      </c>
      <c r="H45" s="5" t="s">
        <v>29</v>
      </c>
      <c r="I45" s="5">
        <v>700</v>
      </c>
      <c r="J45" s="5"/>
      <c r="K45" s="5"/>
      <c r="L45" s="5">
        <f>I45*G45</f>
        <v>700</v>
      </c>
      <c r="M45" s="118" t="s">
        <v>10</v>
      </c>
      <c r="N45" s="117">
        <v>1</v>
      </c>
      <c r="O45" s="117" t="s">
        <v>29</v>
      </c>
      <c r="P45" s="117">
        <v>700</v>
      </c>
      <c r="Q45" s="117">
        <f>P45*N45</f>
        <v>700</v>
      </c>
      <c r="R45" s="5">
        <v>1</v>
      </c>
      <c r="S45" s="5" t="s">
        <v>29</v>
      </c>
      <c r="T45" s="5">
        <v>700</v>
      </c>
      <c r="U45" s="5">
        <f>T45*R45</f>
        <v>700</v>
      </c>
      <c r="W45" s="36" t="s">
        <v>10</v>
      </c>
      <c r="X45" s="5">
        <v>1</v>
      </c>
      <c r="Y45" s="5" t="s">
        <v>29</v>
      </c>
      <c r="Z45" s="5">
        <v>700</v>
      </c>
      <c r="AA45" s="5">
        <f>Z45*X45</f>
        <v>700</v>
      </c>
      <c r="AB45" s="5">
        <v>1</v>
      </c>
      <c r="AC45" s="5" t="s">
        <v>29</v>
      </c>
      <c r="AD45" s="5">
        <v>700</v>
      </c>
      <c r="AE45" s="5">
        <f>AD45*AB45</f>
        <v>700</v>
      </c>
    </row>
    <row r="46" spans="2:31" x14ac:dyDescent="0.2">
      <c r="B46" s="118" t="s">
        <v>32</v>
      </c>
      <c r="C46" s="117">
        <v>0</v>
      </c>
      <c r="D46" s="117" t="s">
        <v>33</v>
      </c>
      <c r="E46" s="117">
        <v>47</v>
      </c>
      <c r="F46" s="117">
        <f>E46*C46</f>
        <v>0</v>
      </c>
      <c r="G46" s="5">
        <v>40</v>
      </c>
      <c r="H46" s="5" t="s">
        <v>33</v>
      </c>
      <c r="I46" s="5">
        <v>47</v>
      </c>
      <c r="J46" s="5"/>
      <c r="K46" s="5"/>
      <c r="L46" s="5">
        <f>I46*G46</f>
        <v>1880</v>
      </c>
      <c r="M46" s="118" t="s">
        <v>32</v>
      </c>
      <c r="N46" s="117">
        <v>0</v>
      </c>
      <c r="O46" s="117" t="s">
        <v>33</v>
      </c>
      <c r="P46" s="117">
        <v>47</v>
      </c>
      <c r="Q46" s="117">
        <f>P46*N46</f>
        <v>0</v>
      </c>
      <c r="R46" s="5">
        <v>40</v>
      </c>
      <c r="S46" s="5" t="s">
        <v>33</v>
      </c>
      <c r="T46" s="5">
        <v>47</v>
      </c>
      <c r="U46" s="5">
        <f>T46*R46</f>
        <v>1880</v>
      </c>
      <c r="W46" s="36" t="s">
        <v>32</v>
      </c>
      <c r="X46" s="5">
        <v>0</v>
      </c>
      <c r="Y46" s="5" t="s">
        <v>33</v>
      </c>
      <c r="Z46" s="5">
        <v>47</v>
      </c>
      <c r="AA46" s="5">
        <f>Z46*X46</f>
        <v>0</v>
      </c>
      <c r="AB46" s="5">
        <v>40</v>
      </c>
      <c r="AC46" s="5" t="s">
        <v>33</v>
      </c>
      <c r="AD46" s="5">
        <v>47</v>
      </c>
      <c r="AE46" s="5">
        <f>AD46*AB46</f>
        <v>1880</v>
      </c>
    </row>
    <row r="47" spans="2:31" x14ac:dyDescent="0.2">
      <c r="B47" s="118" t="s">
        <v>30</v>
      </c>
      <c r="C47" s="117">
        <v>0</v>
      </c>
      <c r="D47" s="117" t="s">
        <v>13</v>
      </c>
      <c r="E47" s="119">
        <f>SUM(F41:F46)</f>
        <v>37877.461463829786</v>
      </c>
      <c r="F47" s="119">
        <f>E47*C47/100</f>
        <v>0</v>
      </c>
      <c r="G47" s="5">
        <v>0.5</v>
      </c>
      <c r="H47" s="5" t="s">
        <v>13</v>
      </c>
      <c r="I47" s="7">
        <f>SUM(L41:L46)</f>
        <v>39900.308533130701</v>
      </c>
      <c r="J47" s="7"/>
      <c r="K47" s="7"/>
      <c r="L47" s="7">
        <f>I47*G47/100</f>
        <v>199.50154266565352</v>
      </c>
      <c r="M47" s="118" t="s">
        <v>30</v>
      </c>
      <c r="N47" s="117">
        <v>0</v>
      </c>
      <c r="O47" s="117" t="s">
        <v>13</v>
      </c>
      <c r="P47" s="119">
        <f>SUM(Q41:Q46)</f>
        <v>42385.345105090222</v>
      </c>
      <c r="Q47" s="119">
        <f>P47*N47/100</f>
        <v>0</v>
      </c>
      <c r="R47" s="5">
        <v>0.5</v>
      </c>
      <c r="S47" s="5" t="s">
        <v>13</v>
      </c>
      <c r="T47" s="7">
        <f>SUM(U41:U46)</f>
        <v>44418.017657635333</v>
      </c>
      <c r="U47" s="7">
        <f>T47*R47/100</f>
        <v>222.09008828817667</v>
      </c>
      <c r="W47" s="36" t="s">
        <v>30</v>
      </c>
      <c r="X47" s="5">
        <v>0</v>
      </c>
      <c r="Y47" s="5" t="s">
        <v>13</v>
      </c>
      <c r="Z47" s="7">
        <f>Z49+AA49</f>
        <v>52639.678472668107</v>
      </c>
      <c r="AA47" s="7">
        <f>Z47*X47/100</f>
        <v>0</v>
      </c>
      <c r="AB47" s="5">
        <v>1</v>
      </c>
      <c r="AC47" s="5" t="s">
        <v>13</v>
      </c>
      <c r="AD47" s="7">
        <f>AD49+AE49+AE44</f>
        <v>55289.107697780317</v>
      </c>
      <c r="AE47" s="7">
        <f>AD47*AB47/100</f>
        <v>552.89107697780321</v>
      </c>
    </row>
    <row r="48" spans="2:31" x14ac:dyDescent="0.2">
      <c r="B48" s="118" t="s">
        <v>31</v>
      </c>
      <c r="C48" s="117"/>
      <c r="D48" s="117"/>
      <c r="E48" s="117"/>
      <c r="F48" s="120">
        <f>SUM(F42:F47)</f>
        <v>2165.6941386018239</v>
      </c>
      <c r="G48" s="27"/>
      <c r="H48" s="27"/>
      <c r="I48" s="27"/>
      <c r="J48" s="27"/>
      <c r="K48" s="27"/>
      <c r="L48" s="28">
        <f>SUM(L42:L47)</f>
        <v>4388.0427505683892</v>
      </c>
      <c r="M48" s="118" t="s">
        <v>31</v>
      </c>
      <c r="N48" s="117"/>
      <c r="O48" s="117"/>
      <c r="P48" s="117"/>
      <c r="Q48" s="120">
        <f>SUM(Q42:Q47)</f>
        <v>2185.3451050902236</v>
      </c>
      <c r="R48" s="27"/>
      <c r="S48" s="27"/>
      <c r="T48" s="27"/>
      <c r="U48" s="28">
        <f>SUM(U42:U47)</f>
        <v>4440.1077459235121</v>
      </c>
      <c r="W48" s="37" t="s">
        <v>31</v>
      </c>
      <c r="X48" s="27"/>
      <c r="Y48" s="27"/>
      <c r="Z48" s="27"/>
      <c r="AA48" s="28">
        <f ca="1">SUM(AA42:AA50)</f>
        <v>1022.6277035640542</v>
      </c>
      <c r="AB48" s="27"/>
      <c r="AC48" s="27"/>
      <c r="AD48" s="27"/>
      <c r="AE48" s="28">
        <f ca="1">SUM(AE42:AE50)</f>
        <v>3337.6951323238845</v>
      </c>
    </row>
    <row r="49" spans="2:31" x14ac:dyDescent="0.2">
      <c r="B49" s="118" t="s">
        <v>34</v>
      </c>
      <c r="C49" s="117">
        <v>4.5</v>
      </c>
      <c r="D49" s="117" t="s">
        <v>13</v>
      </c>
      <c r="E49" s="119">
        <f>SUM(F41:F47)</f>
        <v>37877.461463829786</v>
      </c>
      <c r="F49" s="119">
        <f>E49*C49/100</f>
        <v>1704.4857658723404</v>
      </c>
      <c r="G49" s="5">
        <v>4.5</v>
      </c>
      <c r="H49" s="5" t="s">
        <v>13</v>
      </c>
      <c r="I49" s="7">
        <f>SUM(L41:L47)</f>
        <v>40099.810075796355</v>
      </c>
      <c r="J49" s="7"/>
      <c r="K49" s="7"/>
      <c r="L49" s="7">
        <f>I49*G49/100</f>
        <v>1804.4914534108359</v>
      </c>
      <c r="M49" s="118" t="s">
        <v>34</v>
      </c>
      <c r="N49" s="117">
        <v>4.5</v>
      </c>
      <c r="O49" s="117" t="s">
        <v>13</v>
      </c>
      <c r="P49" s="119">
        <f>SUM(Q41:Q47)</f>
        <v>42385.345105090222</v>
      </c>
      <c r="Q49" s="119">
        <f>P49*N49/100</f>
        <v>1907.3405297290601</v>
      </c>
      <c r="R49" s="5">
        <v>4.5</v>
      </c>
      <c r="S49" s="5" t="s">
        <v>13</v>
      </c>
      <c r="T49" s="7">
        <f>SUM(U41:U47)</f>
        <v>44640.107745923509</v>
      </c>
      <c r="U49" s="7">
        <f>T49*R49/100</f>
        <v>2008.8048485665579</v>
      </c>
      <c r="W49" s="36" t="s">
        <v>34</v>
      </c>
      <c r="X49" s="5">
        <v>4.5</v>
      </c>
      <c r="Y49" s="5" t="s">
        <v>13</v>
      </c>
      <c r="Z49" s="7">
        <f>Z42+AA42+AA43+AA44+AA45+AA46</f>
        <v>50372.898059969477</v>
      </c>
      <c r="AA49" s="7">
        <f>Z49*X49/100</f>
        <v>2266.7804126986266</v>
      </c>
      <c r="AB49" s="5">
        <v>4.5</v>
      </c>
      <c r="AC49" s="5" t="s">
        <v>13</v>
      </c>
      <c r="AD49" s="7">
        <f>AD42+AE42+AE43+AE44+AE45+AE46</f>
        <v>52525.461911751503</v>
      </c>
      <c r="AE49" s="7">
        <f>AD49*AB49/100</f>
        <v>2363.6457860288174</v>
      </c>
    </row>
    <row r="50" spans="2:31" x14ac:dyDescent="0.2">
      <c r="B50" s="118" t="s">
        <v>46</v>
      </c>
      <c r="C50" s="117">
        <v>-25</v>
      </c>
      <c r="D50" s="117" t="s">
        <v>14</v>
      </c>
      <c r="E50" s="119">
        <v>36</v>
      </c>
      <c r="F50" s="117">
        <f>E50*C50</f>
        <v>-900</v>
      </c>
      <c r="G50" s="5">
        <v>-30</v>
      </c>
      <c r="H50" s="5" t="s">
        <v>14</v>
      </c>
      <c r="I50" s="7">
        <v>36</v>
      </c>
      <c r="J50" s="7"/>
      <c r="K50" s="7"/>
      <c r="L50" s="5">
        <f>I50*G50</f>
        <v>-1080</v>
      </c>
      <c r="M50" s="118" t="s">
        <v>46</v>
      </c>
      <c r="N50" s="117">
        <v>-45</v>
      </c>
      <c r="O50" s="117" t="s">
        <v>14</v>
      </c>
      <c r="P50" s="119">
        <v>36</v>
      </c>
      <c r="Q50" s="117">
        <f>P50*N50</f>
        <v>-1620</v>
      </c>
      <c r="R50" s="5">
        <v>-30</v>
      </c>
      <c r="S50" s="5" t="s">
        <v>14</v>
      </c>
      <c r="T50" s="7">
        <v>36</v>
      </c>
      <c r="U50" s="5">
        <f>T50*R50</f>
        <v>-1080</v>
      </c>
      <c r="W50" s="36" t="s">
        <v>46</v>
      </c>
      <c r="X50" s="5">
        <v>-45</v>
      </c>
      <c r="Y50" s="5" t="s">
        <v>14</v>
      </c>
      <c r="Z50" s="7">
        <v>36</v>
      </c>
      <c r="AA50" s="5">
        <f>Z50*X50</f>
        <v>-1620</v>
      </c>
      <c r="AB50" s="5">
        <v>-55</v>
      </c>
      <c r="AC50" s="5" t="s">
        <v>14</v>
      </c>
      <c r="AD50" s="7">
        <v>36</v>
      </c>
      <c r="AE50" s="5">
        <f>AD50*AB50</f>
        <v>-1980</v>
      </c>
    </row>
    <row r="51" spans="2:31" x14ac:dyDescent="0.2">
      <c r="B51" s="118" t="s">
        <v>47</v>
      </c>
      <c r="C51" s="117">
        <v>-20</v>
      </c>
      <c r="D51" s="117" t="s">
        <v>14</v>
      </c>
      <c r="E51" s="119">
        <v>43</v>
      </c>
      <c r="F51" s="117">
        <f>E51*C51</f>
        <v>-860</v>
      </c>
      <c r="G51" s="5">
        <v>-20</v>
      </c>
      <c r="H51" s="5" t="s">
        <v>14</v>
      </c>
      <c r="I51" s="7">
        <v>43</v>
      </c>
      <c r="J51" s="7"/>
      <c r="K51" s="7"/>
      <c r="L51" s="5">
        <f>I51*G51</f>
        <v>-860</v>
      </c>
      <c r="M51" s="118" t="s">
        <v>47</v>
      </c>
      <c r="N51" s="117">
        <v>-20</v>
      </c>
      <c r="O51" s="117" t="s">
        <v>14</v>
      </c>
      <c r="P51" s="119">
        <v>43</v>
      </c>
      <c r="Q51" s="117">
        <f>P51*N51</f>
        <v>-860</v>
      </c>
      <c r="R51" s="5">
        <v>-20</v>
      </c>
      <c r="S51" s="5" t="s">
        <v>14</v>
      </c>
      <c r="T51" s="7">
        <v>43</v>
      </c>
      <c r="U51" s="5">
        <f>T51*R51</f>
        <v>-860</v>
      </c>
      <c r="W51" s="36"/>
      <c r="X51" s="5"/>
      <c r="Y51" s="5"/>
      <c r="Z51" s="7"/>
      <c r="AA51" s="5"/>
      <c r="AB51" s="5"/>
      <c r="AC51" s="5"/>
      <c r="AD51" s="7"/>
      <c r="AE51" s="5"/>
    </row>
    <row r="52" spans="2:31" x14ac:dyDescent="0.2">
      <c r="B52" s="118" t="s">
        <v>39</v>
      </c>
      <c r="C52" s="117" t="s">
        <v>17</v>
      </c>
      <c r="D52" s="117" t="s">
        <v>29</v>
      </c>
      <c r="E52" s="117">
        <v>500</v>
      </c>
      <c r="F52" s="120">
        <v>500</v>
      </c>
      <c r="G52" s="29" t="s">
        <v>17</v>
      </c>
      <c r="H52" s="29" t="s">
        <v>29</v>
      </c>
      <c r="I52" s="29">
        <v>500</v>
      </c>
      <c r="J52" s="29"/>
      <c r="K52" s="29"/>
      <c r="L52" s="30">
        <v>500</v>
      </c>
      <c r="M52" s="118" t="s">
        <v>39</v>
      </c>
      <c r="N52" s="117" t="s">
        <v>17</v>
      </c>
      <c r="O52" s="117" t="s">
        <v>29</v>
      </c>
      <c r="P52" s="117">
        <v>500</v>
      </c>
      <c r="Q52" s="120">
        <v>500</v>
      </c>
      <c r="R52" s="29" t="s">
        <v>17</v>
      </c>
      <c r="S52" s="29" t="s">
        <v>29</v>
      </c>
      <c r="T52" s="29">
        <v>500</v>
      </c>
      <c r="U52" s="30">
        <v>500</v>
      </c>
      <c r="W52" s="38" t="s">
        <v>39</v>
      </c>
      <c r="X52" s="29" t="s">
        <v>17</v>
      </c>
      <c r="Y52" s="29" t="s">
        <v>29</v>
      </c>
      <c r="Z52" s="29">
        <v>500</v>
      </c>
      <c r="AA52" s="30">
        <v>500</v>
      </c>
      <c r="AB52" s="29" t="s">
        <v>17</v>
      </c>
      <c r="AC52" s="29" t="s">
        <v>29</v>
      </c>
      <c r="AD52" s="29">
        <v>500</v>
      </c>
      <c r="AE52" s="30">
        <v>500</v>
      </c>
    </row>
    <row r="53" spans="2:31" x14ac:dyDescent="0.2">
      <c r="B53" s="118" t="s">
        <v>5</v>
      </c>
      <c r="C53" s="117"/>
      <c r="D53" s="117"/>
      <c r="E53" s="117"/>
      <c r="F53" s="120">
        <f>F48+I15+F52</f>
        <v>38377.461463829786</v>
      </c>
      <c r="G53" s="31"/>
      <c r="H53" s="31"/>
      <c r="I53" s="31"/>
      <c r="J53" s="31"/>
      <c r="K53" s="31"/>
      <c r="L53" s="32">
        <f>L52+I15+L48</f>
        <v>40599.810075796355</v>
      </c>
      <c r="M53" s="118" t="s">
        <v>5</v>
      </c>
      <c r="N53" s="117"/>
      <c r="O53" s="117"/>
      <c r="P53" s="117"/>
      <c r="Q53" s="120">
        <f>S15+Q48+Q52</f>
        <v>40853.483241368165</v>
      </c>
      <c r="R53" s="31"/>
      <c r="S53" s="31"/>
      <c r="T53" s="31"/>
      <c r="U53" s="32">
        <f>S15+U48+U52</f>
        <v>43108.245882201452</v>
      </c>
      <c r="W53" s="39" t="s">
        <v>5</v>
      </c>
      <c r="X53" s="31"/>
      <c r="Y53" s="31"/>
      <c r="Z53" s="31"/>
      <c r="AA53" s="32">
        <f ca="1">AC15+AA48+AA52</f>
        <v>49535.398059969477</v>
      </c>
      <c r="AB53" s="31"/>
      <c r="AC53" s="31"/>
      <c r="AD53" s="31"/>
      <c r="AE53" s="32">
        <f ca="1">AC15+AE48+AE52</f>
        <v>51850.465488729307</v>
      </c>
    </row>
    <row r="54" spans="2:31" x14ac:dyDescent="0.2">
      <c r="B54" s="118" t="s">
        <v>35</v>
      </c>
      <c r="C54" s="117"/>
      <c r="D54" s="117"/>
      <c r="E54" s="117"/>
      <c r="F54" s="116">
        <v>37200</v>
      </c>
      <c r="G54" s="5"/>
      <c r="H54" s="5"/>
      <c r="I54" s="5"/>
      <c r="J54" s="5"/>
      <c r="K54" s="5"/>
      <c r="L54" s="25">
        <f>F54</f>
        <v>37200</v>
      </c>
      <c r="M54" s="118" t="s">
        <v>35</v>
      </c>
      <c r="N54" s="117"/>
      <c r="O54" s="117"/>
      <c r="P54" s="117"/>
      <c r="Q54" s="116">
        <v>40200</v>
      </c>
      <c r="R54" s="5"/>
      <c r="S54" s="5"/>
      <c r="T54" s="5"/>
      <c r="U54" s="25">
        <f>Q54</f>
        <v>40200</v>
      </c>
      <c r="W54" s="36" t="s">
        <v>35</v>
      </c>
      <c r="X54" s="5"/>
      <c r="Y54" s="5"/>
      <c r="Z54" s="5"/>
      <c r="AA54" s="25">
        <v>56100</v>
      </c>
      <c r="AB54" s="5"/>
      <c r="AC54" s="5"/>
      <c r="AD54" s="5"/>
      <c r="AE54" s="25">
        <v>56100</v>
      </c>
    </row>
    <row r="55" spans="2:31" x14ac:dyDescent="0.2">
      <c r="B55" s="121" t="s">
        <v>36</v>
      </c>
      <c r="C55" s="122"/>
      <c r="D55" s="122"/>
      <c r="E55" s="122"/>
      <c r="F55" s="123">
        <f>F54-F53</f>
        <v>-1177.4614638297862</v>
      </c>
      <c r="G55" s="33"/>
      <c r="H55" s="33"/>
      <c r="I55" s="33"/>
      <c r="J55" s="33"/>
      <c r="K55" s="33"/>
      <c r="L55" s="34">
        <f>L54-L53</f>
        <v>-3399.8100757963548</v>
      </c>
      <c r="M55" s="121" t="s">
        <v>36</v>
      </c>
      <c r="N55" s="122"/>
      <c r="O55" s="122"/>
      <c r="P55" s="122"/>
      <c r="Q55" s="123">
        <f>Q54-Q53</f>
        <v>-653.48324136816518</v>
      </c>
      <c r="R55" s="33"/>
      <c r="S55" s="33"/>
      <c r="T55" s="33"/>
      <c r="U55" s="34">
        <f>U54-U53</f>
        <v>-2908.2458822014523</v>
      </c>
      <c r="W55" s="40" t="s">
        <v>36</v>
      </c>
      <c r="X55" s="33"/>
      <c r="Y55" s="33"/>
      <c r="Z55" s="33"/>
      <c r="AA55" s="34">
        <f ca="1">AA54-AA53</f>
        <v>6564.6019400305231</v>
      </c>
      <c r="AB55" s="33"/>
      <c r="AC55" s="33"/>
      <c r="AD55" s="33"/>
      <c r="AE55" s="34">
        <f ca="1">AE54-AE53</f>
        <v>4249.5345112706927</v>
      </c>
    </row>
    <row r="57" spans="2:31" x14ac:dyDescent="0.2">
      <c r="F57" s="22"/>
      <c r="Q57" s="22">
        <f>Q53-[1]Sheet1!O53</f>
        <v>-3590.2406110422889</v>
      </c>
    </row>
    <row r="58" spans="2:31" x14ac:dyDescent="0.2">
      <c r="F58" s="22"/>
      <c r="Q58" s="22">
        <f>Q54-[1]Sheet1!O54</f>
        <v>-5300</v>
      </c>
    </row>
    <row r="59" spans="2:31" x14ac:dyDescent="0.2">
      <c r="F59" s="22"/>
      <c r="Q59" s="22">
        <f>Q55-[1]Sheet1!O55</f>
        <v>-1709.7593889577111</v>
      </c>
    </row>
    <row r="62" spans="2:31" x14ac:dyDescent="0.2">
      <c r="H62" s="1">
        <f>52050-49300</f>
        <v>2750</v>
      </c>
    </row>
  </sheetData>
  <mergeCells count="12">
    <mergeCell ref="AB38:AE38"/>
    <mergeCell ref="C4:I4"/>
    <mergeCell ref="M4:S4"/>
    <mergeCell ref="W4:AC4"/>
    <mergeCell ref="C21:F21"/>
    <mergeCell ref="N21:Q21"/>
    <mergeCell ref="X21:AA21"/>
    <mergeCell ref="C38:F38"/>
    <mergeCell ref="G38:L38"/>
    <mergeCell ref="N38:Q38"/>
    <mergeCell ref="R38:U38"/>
    <mergeCell ref="X38:AA38"/>
  </mergeCells>
  <pageMargins left="0.7" right="0.7" top="0.75" bottom="0.75" header="0.3" footer="0.3"/>
  <pageSetup paperSize="9" scale="36" orientation="portrait" verticalDpi="0" r:id="rId1"/>
  <colBreaks count="1" manualBreakCount="1">
    <brk id="22" max="54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F2E1-5745-EB43-827D-31C50FDDC88B}">
  <dimension ref="A1"/>
  <sheetViews>
    <sheetView workbookViewId="0">
      <selection activeCell="E8" sqref="E8"/>
    </sheetView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5E2F-2862-4D4F-8608-C8323787A9BF}">
  <dimension ref="A2:AC62"/>
  <sheetViews>
    <sheetView zoomScale="130" zoomScaleNormal="130" zoomScaleSheetLayoutView="120" workbookViewId="0">
      <selection activeCell="F55" sqref="F55"/>
    </sheetView>
  </sheetViews>
  <sheetFormatPr baseColWidth="10" defaultColWidth="8.83203125" defaultRowHeight="15" x14ac:dyDescent="0.2"/>
  <cols>
    <col min="1" max="1" width="4" style="1" bestFit="1" customWidth="1"/>
    <col min="2" max="2" width="22.83203125" style="1" customWidth="1"/>
    <col min="3" max="3" width="12.33203125" style="1" bestFit="1" customWidth="1"/>
    <col min="4" max="4" width="5.6640625" style="1" bestFit="1" customWidth="1"/>
    <col min="5" max="6" width="8.83203125" style="1"/>
    <col min="7" max="7" width="16" style="1" bestFit="1" customWidth="1"/>
    <col min="8" max="8" width="12.1640625" style="1" bestFit="1" customWidth="1"/>
    <col min="9" max="10" width="8.83203125" style="1"/>
    <col min="11" max="11" width="26.5" style="1" bestFit="1" customWidth="1"/>
    <col min="12" max="12" width="12.33203125" style="1" bestFit="1" customWidth="1"/>
    <col min="13" max="13" width="10.5" style="1" customWidth="1"/>
    <col min="14" max="14" width="6.83203125" style="1" bestFit="1" customWidth="1"/>
    <col min="15" max="15" width="16" style="1" bestFit="1" customWidth="1"/>
    <col min="16" max="16" width="12.6640625" style="1" customWidth="1"/>
    <col min="17" max="17" width="9.1640625" style="1" bestFit="1" customWidth="1"/>
    <col min="18" max="20" width="8.83203125" style="1"/>
    <col min="21" max="21" width="26.5" style="1" bestFit="1" customWidth="1"/>
    <col min="22" max="22" width="12.33203125" style="1" bestFit="1" customWidth="1"/>
    <col min="23" max="24" width="8.83203125" style="1"/>
    <col min="25" max="25" width="16" style="1" bestFit="1" customWidth="1"/>
    <col min="26" max="26" width="12.33203125" style="1" bestFit="1" customWidth="1"/>
    <col min="27" max="16384" width="8.83203125" style="1"/>
  </cols>
  <sheetData>
    <row r="2" spans="1:27" x14ac:dyDescent="0.2">
      <c r="B2" s="2" t="s">
        <v>0</v>
      </c>
    </row>
    <row r="4" spans="1:27" x14ac:dyDescent="0.2">
      <c r="B4" s="2" t="s">
        <v>1</v>
      </c>
      <c r="C4" s="149" t="s">
        <v>60</v>
      </c>
      <c r="D4" s="149"/>
      <c r="E4" s="149"/>
      <c r="F4" s="149"/>
      <c r="G4" s="149"/>
      <c r="H4" s="149"/>
      <c r="I4" s="149"/>
      <c r="K4" s="149"/>
      <c r="L4" s="149"/>
      <c r="M4" s="149"/>
      <c r="N4" s="149"/>
      <c r="O4" s="149"/>
      <c r="P4" s="149"/>
      <c r="Q4" s="149"/>
      <c r="U4" s="149"/>
      <c r="V4" s="149"/>
      <c r="W4" s="149"/>
      <c r="X4" s="149"/>
      <c r="Y4" s="149"/>
      <c r="Z4" s="149"/>
      <c r="AA4" s="149"/>
    </row>
    <row r="5" spans="1:27" x14ac:dyDescent="0.2">
      <c r="B5" s="3" t="s">
        <v>2</v>
      </c>
      <c r="C5" s="3" t="s">
        <v>11</v>
      </c>
      <c r="D5" s="25" t="s">
        <v>12</v>
      </c>
      <c r="E5" s="35" t="s">
        <v>4</v>
      </c>
      <c r="F5" s="35" t="s">
        <v>18</v>
      </c>
      <c r="G5" s="35" t="s">
        <v>3</v>
      </c>
      <c r="H5" s="25" t="s">
        <v>19</v>
      </c>
      <c r="I5" s="25" t="s">
        <v>5</v>
      </c>
      <c r="K5" s="25" t="s">
        <v>61</v>
      </c>
      <c r="L5" s="25"/>
      <c r="M5" s="35"/>
      <c r="N5" s="35"/>
      <c r="O5" s="3"/>
      <c r="P5" s="25"/>
      <c r="Q5" s="25"/>
      <c r="U5" s="25"/>
      <c r="V5" s="25"/>
      <c r="W5" s="35"/>
      <c r="X5" s="35"/>
      <c r="Y5" s="25"/>
      <c r="Z5" s="25"/>
      <c r="AA5" s="3"/>
    </row>
    <row r="6" spans="1:27" x14ac:dyDescent="0.2">
      <c r="B6" s="4"/>
      <c r="C6" s="4"/>
      <c r="D6" s="4"/>
      <c r="E6" s="4"/>
      <c r="F6" s="4"/>
      <c r="G6" s="4"/>
      <c r="H6" s="4"/>
      <c r="I6" s="4"/>
      <c r="J6" s="8"/>
      <c r="K6" s="35" t="s">
        <v>4</v>
      </c>
      <c r="L6" s="35" t="s">
        <v>18</v>
      </c>
      <c r="M6" s="35" t="s">
        <v>3</v>
      </c>
      <c r="N6" s="25" t="s">
        <v>19</v>
      </c>
      <c r="O6" s="25" t="s">
        <v>5</v>
      </c>
      <c r="P6" s="4"/>
      <c r="Q6" s="4"/>
      <c r="U6" s="5"/>
      <c r="V6" s="5"/>
      <c r="W6" s="4"/>
      <c r="X6" s="4"/>
      <c r="Y6" s="4"/>
      <c r="Z6" s="4"/>
      <c r="AA6" s="4"/>
    </row>
    <row r="7" spans="1:27" x14ac:dyDescent="0.2">
      <c r="A7" s="1">
        <v>850</v>
      </c>
      <c r="B7" s="3" t="s">
        <v>16</v>
      </c>
      <c r="C7" s="5">
        <v>68</v>
      </c>
      <c r="D7" s="5" t="s">
        <v>13</v>
      </c>
      <c r="E7" s="82">
        <v>25600</v>
      </c>
      <c r="F7" s="4">
        <f>E7*C7/100</f>
        <v>17408</v>
      </c>
      <c r="G7" s="6">
        <v>0.8</v>
      </c>
      <c r="H7" s="7">
        <f>F7/G7</f>
        <v>21760</v>
      </c>
      <c r="I7" s="7">
        <f>H7</f>
        <v>21760</v>
      </c>
      <c r="J7" s="8"/>
      <c r="K7" s="5">
        <f>E7-Raipur!E7</f>
        <v>-1050</v>
      </c>
      <c r="L7" s="5">
        <f>F7-Raipur!F7</f>
        <v>-714</v>
      </c>
      <c r="M7" s="5">
        <f>G7-Raipur!G7</f>
        <v>0</v>
      </c>
      <c r="N7" s="5">
        <f>H7-Raipur!H7</f>
        <v>-892.5</v>
      </c>
      <c r="O7" s="5">
        <f>I7-Raipur!I7</f>
        <v>-892.5</v>
      </c>
      <c r="P7" s="7"/>
      <c r="Q7" s="7"/>
      <c r="R7" s="8"/>
      <c r="U7" s="5"/>
      <c r="V7" s="5"/>
      <c r="W7" s="4"/>
      <c r="X7" s="4"/>
      <c r="Y7" s="6"/>
      <c r="Z7" s="7"/>
      <c r="AA7" s="7"/>
    </row>
    <row r="8" spans="1:27" x14ac:dyDescent="0.2">
      <c r="A8" s="1">
        <v>128</v>
      </c>
      <c r="B8" s="3" t="s">
        <v>6</v>
      </c>
      <c r="C8" s="5">
        <v>12</v>
      </c>
      <c r="D8" s="9" t="s">
        <v>13</v>
      </c>
      <c r="E8" s="82">
        <v>37650</v>
      </c>
      <c r="F8" s="4">
        <f t="shared" ref="F8:F11" si="0">E8*C8/100</f>
        <v>4518</v>
      </c>
      <c r="G8" s="6">
        <v>0.94</v>
      </c>
      <c r="H8" s="7">
        <f t="shared" ref="H8:H11" si="1">F8/G8</f>
        <v>4806.3829787234044</v>
      </c>
      <c r="I8" s="7">
        <f>H8</f>
        <v>4806.3829787234044</v>
      </c>
      <c r="J8" s="8"/>
      <c r="K8" s="5">
        <f>E8-Raipur!E8</f>
        <v>100</v>
      </c>
      <c r="L8" s="5">
        <f>F8-Raipur!F8</f>
        <v>12</v>
      </c>
      <c r="M8" s="5">
        <f>G8-Raipur!G8</f>
        <v>0</v>
      </c>
      <c r="N8" s="5">
        <f>H8-Raipur!H8</f>
        <v>12.765957446807988</v>
      </c>
      <c r="O8" s="5">
        <f>I8-Raipur!I8</f>
        <v>12.765957446807988</v>
      </c>
      <c r="P8" s="7"/>
      <c r="Q8" s="7"/>
      <c r="R8" s="8"/>
      <c r="U8" s="5"/>
      <c r="V8" s="9"/>
      <c r="W8" s="4"/>
      <c r="X8" s="4"/>
      <c r="Y8" s="6"/>
      <c r="Z8" s="7"/>
      <c r="AA8" s="7"/>
    </row>
    <row r="9" spans="1:27" x14ac:dyDescent="0.2">
      <c r="A9" s="1">
        <v>104</v>
      </c>
      <c r="B9" s="3" t="s">
        <v>7</v>
      </c>
      <c r="C9" s="5">
        <v>10</v>
      </c>
      <c r="D9" s="9" t="s">
        <v>13</v>
      </c>
      <c r="E9" s="82">
        <v>33500</v>
      </c>
      <c r="F9" s="4">
        <f t="shared" si="0"/>
        <v>3350</v>
      </c>
      <c r="G9" s="6">
        <v>0.96</v>
      </c>
      <c r="H9" s="7">
        <f t="shared" si="1"/>
        <v>3489.5833333333335</v>
      </c>
      <c r="I9" s="7">
        <f t="shared" ref="I9:I11" si="2">H9</f>
        <v>3489.5833333333335</v>
      </c>
      <c r="J9" s="8"/>
      <c r="K9" s="5">
        <f>E9-Raipur!E9</f>
        <v>-1300</v>
      </c>
      <c r="L9" s="5">
        <f>F9-Raipur!F9</f>
        <v>-130</v>
      </c>
      <c r="M9" s="5">
        <f>G9-Raipur!G9</f>
        <v>0</v>
      </c>
      <c r="N9" s="5">
        <f>H9-Raipur!H9</f>
        <v>-135.41666666666652</v>
      </c>
      <c r="O9" s="5">
        <f>I9-Raipur!I9</f>
        <v>-135.41666666666652</v>
      </c>
      <c r="P9" s="7"/>
      <c r="Q9" s="7"/>
      <c r="R9" s="8"/>
      <c r="U9" s="5"/>
      <c r="V9" s="9"/>
      <c r="W9" s="4"/>
      <c r="X9" s="4"/>
      <c r="Y9" s="6"/>
      <c r="Z9" s="7"/>
      <c r="AA9" s="7"/>
    </row>
    <row r="10" spans="1:27" x14ac:dyDescent="0.2">
      <c r="B10" s="3" t="s">
        <v>8</v>
      </c>
      <c r="C10" s="5">
        <v>14</v>
      </c>
      <c r="D10" s="5" t="s">
        <v>14</v>
      </c>
      <c r="E10" s="86">
        <f>Raipur!E10</f>
        <v>74.400000000000006</v>
      </c>
      <c r="F10" s="4">
        <f>E10*C10</f>
        <v>1041.6000000000001</v>
      </c>
      <c r="G10" s="6">
        <v>1</v>
      </c>
      <c r="H10" s="7">
        <f t="shared" si="1"/>
        <v>1041.6000000000001</v>
      </c>
      <c r="I10" s="7">
        <f t="shared" si="2"/>
        <v>1041.6000000000001</v>
      </c>
      <c r="J10" s="8"/>
      <c r="K10" s="5">
        <f>E10-Raipur!E10</f>
        <v>0</v>
      </c>
      <c r="L10" s="5">
        <f>F10-Raipur!F10</f>
        <v>0</v>
      </c>
      <c r="M10" s="5">
        <f>G10-Raipur!G10</f>
        <v>0</v>
      </c>
      <c r="N10" s="5">
        <f>H10-Raipur!H10</f>
        <v>0</v>
      </c>
      <c r="O10" s="5">
        <f>I10-Raipur!I10</f>
        <v>0</v>
      </c>
      <c r="P10" s="7"/>
      <c r="Q10" s="7"/>
      <c r="R10" s="8"/>
      <c r="U10" s="5"/>
      <c r="V10" s="5"/>
      <c r="W10" s="4"/>
      <c r="X10" s="4"/>
      <c r="Y10" s="6"/>
      <c r="Z10" s="7"/>
      <c r="AA10" s="7"/>
    </row>
    <row r="11" spans="1:27" x14ac:dyDescent="0.2">
      <c r="A11" s="1">
        <v>119</v>
      </c>
      <c r="B11" s="3" t="s">
        <v>15</v>
      </c>
      <c r="C11" s="5">
        <v>10</v>
      </c>
      <c r="D11" s="9" t="s">
        <v>13</v>
      </c>
      <c r="E11" s="82">
        <v>27700</v>
      </c>
      <c r="F11" s="4">
        <f t="shared" si="0"/>
        <v>2770</v>
      </c>
      <c r="G11" s="6">
        <v>0.84</v>
      </c>
      <c r="H11" s="7">
        <f t="shared" si="1"/>
        <v>3297.6190476190477</v>
      </c>
      <c r="I11" s="7">
        <f t="shared" si="2"/>
        <v>3297.6190476190477</v>
      </c>
      <c r="J11" s="8"/>
      <c r="K11" s="5">
        <f>E11-Raipur!E11</f>
        <v>-2800</v>
      </c>
      <c r="L11" s="5">
        <f>F11-Raipur!F11</f>
        <v>-280</v>
      </c>
      <c r="M11" s="5">
        <f>G11-Raipur!G11</f>
        <v>0</v>
      </c>
      <c r="N11" s="5">
        <f>H11-Raipur!H11</f>
        <v>-333.33333333333348</v>
      </c>
      <c r="O11" s="5">
        <f>I11-Raipur!I11</f>
        <v>-333.33333333333348</v>
      </c>
      <c r="P11" s="7"/>
      <c r="Q11" s="7"/>
      <c r="R11" s="8"/>
      <c r="U11" s="5"/>
      <c r="V11" s="9"/>
      <c r="W11" s="4"/>
      <c r="X11" s="4"/>
      <c r="Y11" s="6"/>
      <c r="Z11" s="7"/>
      <c r="AA11" s="7"/>
    </row>
    <row r="12" spans="1:27" x14ac:dyDescent="0.2">
      <c r="B12" s="3" t="s">
        <v>45</v>
      </c>
      <c r="C12" s="5">
        <v>700</v>
      </c>
      <c r="D12" s="5"/>
      <c r="E12" s="86">
        <v>6.5</v>
      </c>
      <c r="F12" s="4">
        <f>E12*C12</f>
        <v>4550</v>
      </c>
      <c r="G12" s="4"/>
      <c r="H12" s="4"/>
      <c r="I12" s="5">
        <f>E12*C12</f>
        <v>4550</v>
      </c>
      <c r="J12" s="8"/>
      <c r="K12" s="5">
        <f>E12-Raipur!E12</f>
        <v>0</v>
      </c>
      <c r="L12" s="5">
        <f>F12-Raipur!F12</f>
        <v>0</v>
      </c>
      <c r="M12" s="5">
        <f>G12-Raipur!G12</f>
        <v>0</v>
      </c>
      <c r="N12" s="5">
        <f>H12-Raipur!H12</f>
        <v>0</v>
      </c>
      <c r="O12" s="5">
        <f>I12-Raipur!I12</f>
        <v>0</v>
      </c>
      <c r="P12" s="4"/>
      <c r="Q12" s="5"/>
      <c r="R12" s="8"/>
      <c r="U12" s="5"/>
      <c r="V12" s="5"/>
      <c r="W12" s="4"/>
      <c r="X12" s="4"/>
      <c r="Y12" s="4"/>
      <c r="Z12" s="4"/>
      <c r="AA12" s="5"/>
    </row>
    <row r="13" spans="1:27" x14ac:dyDescent="0.2">
      <c r="B13" s="3" t="s">
        <v>28</v>
      </c>
      <c r="C13" s="5">
        <v>1</v>
      </c>
      <c r="D13" s="5" t="s">
        <v>29</v>
      </c>
      <c r="E13" s="86">
        <v>500</v>
      </c>
      <c r="F13" s="4">
        <f>E13*C13</f>
        <v>500</v>
      </c>
      <c r="G13" s="4"/>
      <c r="H13" s="4"/>
      <c r="I13" s="5">
        <v>550</v>
      </c>
      <c r="J13" s="8"/>
      <c r="K13" s="5">
        <f>E13-Raipur!E13</f>
        <v>0</v>
      </c>
      <c r="L13" s="5">
        <f>F13-Raipur!F13</f>
        <v>0</v>
      </c>
      <c r="M13" s="5">
        <f>G13-Raipur!G13</f>
        <v>0</v>
      </c>
      <c r="N13" s="5">
        <f>H13-Raipur!H13</f>
        <v>0</v>
      </c>
      <c r="O13" s="5">
        <f>I13-Raipur!I13</f>
        <v>0</v>
      </c>
      <c r="P13" s="4"/>
      <c r="Q13" s="5"/>
      <c r="R13" s="8"/>
      <c r="U13" s="5"/>
      <c r="V13" s="5"/>
      <c r="W13" s="4"/>
      <c r="X13" s="4"/>
      <c r="Y13" s="4"/>
      <c r="Z13" s="4"/>
      <c r="AA13" s="5"/>
    </row>
    <row r="14" spans="1:27" x14ac:dyDescent="0.2">
      <c r="B14" s="3" t="s">
        <v>10</v>
      </c>
      <c r="C14" s="5">
        <v>1</v>
      </c>
      <c r="D14" s="5" t="s">
        <v>29</v>
      </c>
      <c r="E14" s="86">
        <v>550</v>
      </c>
      <c r="F14" s="4">
        <f>E14</f>
        <v>550</v>
      </c>
      <c r="G14" s="4"/>
      <c r="H14" s="4"/>
      <c r="I14" s="5">
        <v>500</v>
      </c>
      <c r="K14" s="5">
        <f>E14-Raipur!E14</f>
        <v>0</v>
      </c>
      <c r="L14" s="5">
        <f>F14-Raipur!F14</f>
        <v>0</v>
      </c>
      <c r="M14" s="5">
        <f>G14-Raipur!G14</f>
        <v>0</v>
      </c>
      <c r="N14" s="5">
        <f>H14-Raipur!H14</f>
        <v>0</v>
      </c>
      <c r="O14" s="5">
        <f>I14-Raipur!I14</f>
        <v>0</v>
      </c>
      <c r="P14" s="4"/>
      <c r="Q14" s="5"/>
      <c r="U14" s="5"/>
      <c r="V14" s="5"/>
      <c r="W14" s="4"/>
      <c r="X14" s="4"/>
      <c r="Y14" s="4"/>
      <c r="Z14" s="4"/>
      <c r="AA14" s="5"/>
    </row>
    <row r="15" spans="1:27" x14ac:dyDescent="0.2">
      <c r="B15" s="10" t="str">
        <f>Raipur!B15</f>
        <v>Billet Cost</v>
      </c>
      <c r="C15" s="11"/>
      <c r="D15" s="11"/>
      <c r="E15" s="11"/>
      <c r="F15" s="11"/>
      <c r="G15" s="11"/>
      <c r="H15" s="11"/>
      <c r="I15" s="12">
        <f>SUM(I7:I14)</f>
        <v>39995.185359675786</v>
      </c>
      <c r="J15" s="22"/>
      <c r="K15" s="10"/>
      <c r="L15" s="11"/>
      <c r="M15" s="11"/>
      <c r="N15" s="11"/>
      <c r="O15" s="11">
        <f>SUM(O7:O14)</f>
        <v>-1348.484042553192</v>
      </c>
      <c r="P15" s="11"/>
      <c r="Q15" s="12"/>
      <c r="R15" s="22"/>
      <c r="U15" s="10"/>
      <c r="V15" s="11"/>
      <c r="W15" s="11"/>
      <c r="X15" s="11"/>
      <c r="Y15" s="11"/>
      <c r="Z15" s="11"/>
      <c r="AA15" s="12"/>
    </row>
    <row r="16" spans="1:27" x14ac:dyDescent="0.2">
      <c r="B16" s="13" t="s">
        <v>20</v>
      </c>
      <c r="C16" s="14"/>
      <c r="D16" s="14"/>
      <c r="E16" s="14"/>
      <c r="F16" s="14"/>
      <c r="G16" s="14"/>
      <c r="H16" s="14"/>
      <c r="I16" s="15">
        <v>41200</v>
      </c>
      <c r="J16" s="22"/>
      <c r="K16" s="13"/>
      <c r="L16" s="14"/>
      <c r="M16" s="14"/>
      <c r="N16" s="14"/>
      <c r="O16" s="14"/>
      <c r="P16" s="14"/>
      <c r="Q16" s="15"/>
      <c r="R16" s="22"/>
      <c r="U16" s="13"/>
      <c r="V16" s="14"/>
      <c r="W16" s="14"/>
      <c r="X16" s="14"/>
      <c r="Y16" s="14"/>
      <c r="Z16" s="14"/>
      <c r="AA16" s="15"/>
    </row>
    <row r="17" spans="1:27" x14ac:dyDescent="0.2">
      <c r="B17" s="16" t="s">
        <v>21</v>
      </c>
      <c r="C17" s="17"/>
      <c r="D17" s="17"/>
      <c r="E17" s="17"/>
      <c r="F17" s="17"/>
      <c r="G17" s="17"/>
      <c r="H17" s="17"/>
      <c r="I17" s="18">
        <f>I16-I15</f>
        <v>1204.8146403242135</v>
      </c>
      <c r="J17" s="22"/>
      <c r="K17" s="16"/>
      <c r="L17" s="17"/>
      <c r="M17" s="17"/>
      <c r="N17" s="17"/>
      <c r="O17" s="17"/>
      <c r="P17" s="17"/>
      <c r="Q17" s="18"/>
      <c r="R17" s="22"/>
      <c r="U17" s="16"/>
      <c r="V17" s="17"/>
      <c r="W17" s="17"/>
      <c r="X17" s="17"/>
      <c r="Y17" s="17"/>
      <c r="Z17" s="17"/>
      <c r="AA17" s="18"/>
    </row>
    <row r="18" spans="1:27" x14ac:dyDescent="0.2">
      <c r="B18" s="2"/>
      <c r="C18" s="2"/>
      <c r="D18" s="2"/>
      <c r="E18" s="2"/>
      <c r="F18" s="2"/>
      <c r="G18" s="2"/>
      <c r="H18" s="2"/>
      <c r="I18" s="19"/>
      <c r="K18" s="2"/>
      <c r="L18" s="2"/>
      <c r="M18" s="2"/>
      <c r="N18" s="2"/>
      <c r="O18" s="2"/>
      <c r="P18" s="2"/>
      <c r="Q18" s="19"/>
      <c r="U18" s="2"/>
      <c r="V18" s="2"/>
      <c r="W18" s="2"/>
      <c r="X18" s="2"/>
      <c r="Y18" s="2"/>
      <c r="Z18" s="2"/>
      <c r="AA18" s="19"/>
    </row>
    <row r="19" spans="1:27" x14ac:dyDescent="0.2">
      <c r="B19" s="2" t="s">
        <v>0</v>
      </c>
    </row>
    <row r="21" spans="1:27" x14ac:dyDescent="0.2">
      <c r="B21" s="3" t="s">
        <v>1</v>
      </c>
      <c r="C21" s="149" t="s">
        <v>60</v>
      </c>
      <c r="D21" s="149"/>
      <c r="E21" s="149"/>
      <c r="F21" s="149"/>
      <c r="G21" s="20"/>
      <c r="I21" s="2"/>
      <c r="J21" s="2"/>
      <c r="K21" s="3"/>
      <c r="L21" s="149"/>
      <c r="M21" s="149"/>
      <c r="N21" s="149"/>
      <c r="O21" s="149"/>
      <c r="U21" s="3"/>
      <c r="V21" s="149"/>
      <c r="W21" s="149"/>
      <c r="X21" s="149"/>
      <c r="Y21" s="149"/>
    </row>
    <row r="22" spans="1:27" x14ac:dyDescent="0.2">
      <c r="B22" s="3" t="s">
        <v>2</v>
      </c>
      <c r="C22" s="3" t="s">
        <v>11</v>
      </c>
      <c r="D22" s="3" t="s">
        <v>12</v>
      </c>
      <c r="E22" s="3" t="s">
        <v>4</v>
      </c>
      <c r="F22" s="3" t="s">
        <v>18</v>
      </c>
      <c r="K22" s="3"/>
      <c r="L22" s="25"/>
      <c r="M22" s="25"/>
      <c r="N22" s="25"/>
      <c r="O22" s="35"/>
      <c r="U22" s="3"/>
      <c r="V22" s="3"/>
      <c r="W22" s="25"/>
      <c r="X22" s="25"/>
      <c r="Y22" s="35"/>
    </row>
    <row r="23" spans="1:27" x14ac:dyDescent="0.2">
      <c r="B23" s="4"/>
      <c r="C23" s="4"/>
      <c r="D23" s="4"/>
      <c r="E23" s="4" t="s">
        <v>41</v>
      </c>
      <c r="F23" s="4"/>
      <c r="G23" s="8"/>
      <c r="K23" s="4"/>
      <c r="L23" s="5"/>
      <c r="M23" s="5"/>
      <c r="N23" s="5"/>
      <c r="O23" s="5"/>
      <c r="U23" s="4"/>
      <c r="V23" s="4"/>
      <c r="W23" s="5"/>
      <c r="X23" s="5"/>
      <c r="Y23" s="43"/>
    </row>
    <row r="24" spans="1:27" x14ac:dyDescent="0.2">
      <c r="A24" s="1">
        <v>850</v>
      </c>
      <c r="B24" s="3" t="s">
        <v>16</v>
      </c>
      <c r="C24" s="5">
        <f>C7*10/G7</f>
        <v>850</v>
      </c>
      <c r="D24" s="5" t="s">
        <v>14</v>
      </c>
      <c r="E24" s="4">
        <f>E7/1000</f>
        <v>25.6</v>
      </c>
      <c r="F24" s="21">
        <f>E24*C24</f>
        <v>21760</v>
      </c>
      <c r="J24" s="84"/>
      <c r="K24" s="3"/>
      <c r="L24" s="7"/>
      <c r="M24" s="5"/>
      <c r="N24" s="7"/>
      <c r="O24" s="44"/>
      <c r="U24" s="3"/>
      <c r="V24" s="7"/>
      <c r="W24" s="5"/>
      <c r="X24" s="7"/>
      <c r="Y24" s="44"/>
    </row>
    <row r="25" spans="1:27" x14ac:dyDescent="0.2">
      <c r="A25" s="1">
        <v>128</v>
      </c>
      <c r="B25" s="3" t="s">
        <v>6</v>
      </c>
      <c r="C25" s="7">
        <f>C8*10/G8</f>
        <v>127.65957446808511</v>
      </c>
      <c r="D25" s="9" t="s">
        <v>14</v>
      </c>
      <c r="E25" s="4">
        <f>E8/1000</f>
        <v>37.65</v>
      </c>
      <c r="F25" s="21">
        <f t="shared" ref="F25:F28" si="3">E25*C25</f>
        <v>4806.3829787234044</v>
      </c>
      <c r="I25" s="22"/>
      <c r="J25" s="84"/>
      <c r="K25" s="3"/>
      <c r="L25" s="7"/>
      <c r="M25" s="5"/>
      <c r="N25" s="7"/>
      <c r="O25" s="44"/>
      <c r="U25" s="3"/>
      <c r="V25" s="7"/>
      <c r="W25" s="5"/>
      <c r="X25" s="7"/>
      <c r="Y25" s="44"/>
    </row>
    <row r="26" spans="1:27" x14ac:dyDescent="0.2">
      <c r="A26" s="1">
        <v>104</v>
      </c>
      <c r="B26" s="3" t="s">
        <v>7</v>
      </c>
      <c r="C26" s="7">
        <f>C9/G9*10</f>
        <v>104.16666666666669</v>
      </c>
      <c r="D26" s="9" t="s">
        <v>14</v>
      </c>
      <c r="E26" s="4">
        <f>E9/1000</f>
        <v>33.5</v>
      </c>
      <c r="F26" s="21">
        <f t="shared" si="3"/>
        <v>3489.5833333333339</v>
      </c>
      <c r="I26" s="22"/>
      <c r="J26" s="84"/>
      <c r="K26" s="3"/>
      <c r="L26" s="7"/>
      <c r="M26" s="5"/>
      <c r="N26" s="7"/>
      <c r="O26" s="44"/>
      <c r="U26" s="3"/>
      <c r="V26" s="7"/>
      <c r="W26" s="5"/>
      <c r="X26" s="7"/>
      <c r="Y26" s="44"/>
    </row>
    <row r="27" spans="1:27" x14ac:dyDescent="0.2">
      <c r="B27" s="3" t="s">
        <v>8</v>
      </c>
      <c r="C27" s="5">
        <v>14</v>
      </c>
      <c r="D27" s="5" t="s">
        <v>14</v>
      </c>
      <c r="E27" s="4">
        <f>E10</f>
        <v>74.400000000000006</v>
      </c>
      <c r="F27" s="21">
        <f>E27*C27</f>
        <v>1041.6000000000001</v>
      </c>
      <c r="J27" s="85"/>
      <c r="K27" s="3"/>
      <c r="L27" s="7"/>
      <c r="M27" s="5"/>
      <c r="N27" s="7"/>
      <c r="O27" s="44"/>
      <c r="U27" s="3"/>
      <c r="V27" s="7"/>
      <c r="W27" s="5"/>
      <c r="X27" s="7"/>
      <c r="Y27" s="44"/>
    </row>
    <row r="28" spans="1:27" x14ac:dyDescent="0.2">
      <c r="A28" s="1">
        <v>119</v>
      </c>
      <c r="B28" s="3" t="s">
        <v>15</v>
      </c>
      <c r="C28" s="7">
        <f>C11/G11*10</f>
        <v>119.04761904761905</v>
      </c>
      <c r="D28" s="9" t="s">
        <v>14</v>
      </c>
      <c r="E28" s="4">
        <f>E11/1000</f>
        <v>27.7</v>
      </c>
      <c r="F28" s="21">
        <f t="shared" si="3"/>
        <v>3297.6190476190477</v>
      </c>
      <c r="J28" s="85"/>
      <c r="K28" s="3"/>
      <c r="L28" s="7"/>
      <c r="M28" s="5"/>
      <c r="N28" s="7"/>
      <c r="O28" s="44"/>
      <c r="U28" s="3"/>
      <c r="V28" s="7"/>
      <c r="W28" s="5"/>
      <c r="X28" s="7"/>
      <c r="Y28" s="44"/>
    </row>
    <row r="29" spans="1:27" x14ac:dyDescent="0.2">
      <c r="B29" s="3" t="s">
        <v>9</v>
      </c>
      <c r="C29" s="5">
        <v>700</v>
      </c>
      <c r="D29" s="5" t="s">
        <v>42</v>
      </c>
      <c r="E29" s="4">
        <f>E12</f>
        <v>6.5</v>
      </c>
      <c r="F29" s="21">
        <f>E29*C29</f>
        <v>4550</v>
      </c>
      <c r="J29" s="85"/>
      <c r="K29" s="3"/>
      <c r="L29" s="7"/>
      <c r="M29" s="5"/>
      <c r="N29" s="5"/>
      <c r="O29" s="44"/>
      <c r="U29" s="3"/>
      <c r="V29" s="7"/>
      <c r="W29" s="5"/>
      <c r="X29" s="5"/>
      <c r="Y29" s="44"/>
    </row>
    <row r="30" spans="1:27" x14ac:dyDescent="0.2">
      <c r="B30" s="3" t="s">
        <v>28</v>
      </c>
      <c r="C30" s="5">
        <v>1</v>
      </c>
      <c r="D30" s="5" t="s">
        <v>29</v>
      </c>
      <c r="E30" s="4">
        <f>E13</f>
        <v>500</v>
      </c>
      <c r="F30" s="21">
        <f>E30*C30</f>
        <v>500</v>
      </c>
      <c r="J30" s="85"/>
      <c r="K30" s="3"/>
      <c r="L30" s="7"/>
      <c r="M30" s="5"/>
      <c r="N30" s="5"/>
      <c r="O30" s="44"/>
      <c r="U30" s="3"/>
      <c r="V30" s="7"/>
      <c r="W30" s="5"/>
      <c r="X30" s="5"/>
      <c r="Y30" s="44"/>
    </row>
    <row r="31" spans="1:27" x14ac:dyDescent="0.2">
      <c r="B31" s="3" t="s">
        <v>10</v>
      </c>
      <c r="C31" s="5">
        <v>1</v>
      </c>
      <c r="D31" s="5" t="s">
        <v>29</v>
      </c>
      <c r="E31" s="4">
        <f>E14</f>
        <v>550</v>
      </c>
      <c r="F31" s="21">
        <f>E31</f>
        <v>550</v>
      </c>
      <c r="J31" s="85"/>
      <c r="K31" s="3"/>
      <c r="L31" s="7"/>
      <c r="M31" s="5"/>
      <c r="N31" s="5"/>
      <c r="O31" s="44"/>
      <c r="U31" s="3"/>
      <c r="V31" s="7"/>
      <c r="W31" s="5"/>
      <c r="X31" s="5"/>
      <c r="Y31" s="44"/>
    </row>
    <row r="32" spans="1:27" x14ac:dyDescent="0.2">
      <c r="B32" s="10" t="str">
        <f>B15</f>
        <v>Billet Cost</v>
      </c>
      <c r="C32" s="11"/>
      <c r="D32" s="11"/>
      <c r="E32" s="11"/>
      <c r="F32" s="41">
        <f>SUM(F24:F31)</f>
        <v>39995.185359675786</v>
      </c>
      <c r="K32" s="10"/>
      <c r="L32" s="11"/>
      <c r="M32" s="11"/>
      <c r="N32" s="11"/>
      <c r="O32" s="41"/>
      <c r="U32" s="10"/>
      <c r="V32" s="11"/>
      <c r="W32" s="11"/>
      <c r="X32" s="11"/>
      <c r="Y32" s="41"/>
    </row>
    <row r="33" spans="2:29" x14ac:dyDescent="0.2">
      <c r="B33" s="13" t="s">
        <v>20</v>
      </c>
      <c r="C33" s="14"/>
      <c r="D33" s="14"/>
      <c r="E33" s="14"/>
      <c r="F33" s="42">
        <f>I16</f>
        <v>41200</v>
      </c>
      <c r="K33" s="13"/>
      <c r="L33" s="14"/>
      <c r="M33" s="14"/>
      <c r="N33" s="14"/>
      <c r="O33" s="42"/>
      <c r="U33" s="13"/>
      <c r="V33" s="14"/>
      <c r="W33" s="14"/>
      <c r="X33" s="14"/>
      <c r="Y33" s="42"/>
    </row>
    <row r="34" spans="2:29" x14ac:dyDescent="0.2">
      <c r="B34" s="16" t="s">
        <v>48</v>
      </c>
      <c r="C34" s="17"/>
      <c r="D34" s="17"/>
      <c r="E34" s="17"/>
      <c r="F34" s="23">
        <f>F33-F32</f>
        <v>1204.8146403242135</v>
      </c>
      <c r="K34" s="16"/>
      <c r="L34" s="17"/>
      <c r="M34" s="17"/>
      <c r="N34" s="17"/>
      <c r="O34" s="23"/>
      <c r="U34" s="16"/>
      <c r="V34" s="17"/>
      <c r="W34" s="17"/>
      <c r="X34" s="17"/>
      <c r="Y34" s="23"/>
    </row>
    <row r="35" spans="2:29" x14ac:dyDescent="0.2">
      <c r="B35" s="2"/>
      <c r="C35" s="2"/>
      <c r="D35" s="2"/>
      <c r="E35" s="2"/>
      <c r="F35" s="2"/>
      <c r="G35" s="2"/>
      <c r="H35" s="2"/>
      <c r="I35" s="19"/>
      <c r="J35" s="19"/>
      <c r="K35" s="2"/>
      <c r="L35" s="2"/>
      <c r="M35" s="2"/>
      <c r="N35" s="2"/>
      <c r="O35" s="2"/>
      <c r="P35" s="2"/>
      <c r="Q35" s="19"/>
      <c r="U35" s="2"/>
      <c r="V35" s="2"/>
      <c r="W35" s="2"/>
      <c r="X35" s="2"/>
      <c r="Y35" s="2"/>
      <c r="Z35" s="2"/>
      <c r="AA35" s="19"/>
    </row>
    <row r="36" spans="2:29" x14ac:dyDescent="0.2">
      <c r="B36" s="2"/>
      <c r="C36" s="2"/>
      <c r="D36" s="2"/>
      <c r="E36" s="2"/>
      <c r="F36" s="2"/>
      <c r="G36" s="2"/>
      <c r="H36" s="2"/>
      <c r="I36" s="19"/>
      <c r="K36" s="2"/>
      <c r="L36" s="2"/>
      <c r="M36" s="2"/>
      <c r="N36" s="2"/>
      <c r="O36" s="2"/>
      <c r="P36" s="2"/>
      <c r="Q36" s="19"/>
      <c r="U36" s="2"/>
      <c r="V36" s="2"/>
      <c r="W36" s="2"/>
      <c r="X36" s="2"/>
      <c r="Y36" s="2"/>
      <c r="Z36" s="2"/>
      <c r="AA36" s="19"/>
    </row>
    <row r="38" spans="2:29" x14ac:dyDescent="0.2">
      <c r="B38" s="24" t="s">
        <v>25</v>
      </c>
      <c r="C38" s="148" t="s">
        <v>38</v>
      </c>
      <c r="D38" s="148"/>
      <c r="E38" s="148"/>
      <c r="F38" s="148"/>
      <c r="G38" s="148" t="s">
        <v>37</v>
      </c>
      <c r="H38" s="148"/>
      <c r="I38" s="148"/>
      <c r="J38" s="148"/>
      <c r="K38" s="24"/>
      <c r="L38" s="148"/>
      <c r="M38" s="148"/>
      <c r="N38" s="148"/>
      <c r="O38" s="148"/>
      <c r="P38" s="148"/>
      <c r="Q38" s="148"/>
      <c r="R38" s="148"/>
      <c r="S38" s="148"/>
      <c r="U38" s="24"/>
      <c r="V38" s="148"/>
      <c r="W38" s="148"/>
      <c r="X38" s="148"/>
      <c r="Y38" s="148"/>
      <c r="Z38" s="148"/>
      <c r="AA38" s="148"/>
      <c r="AB38" s="148"/>
      <c r="AC38" s="148"/>
    </row>
    <row r="39" spans="2:29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U39" s="5"/>
      <c r="V39" s="5"/>
      <c r="W39" s="5"/>
      <c r="X39" s="5"/>
      <c r="Y39" s="5"/>
      <c r="Z39" s="5"/>
      <c r="AA39" s="5"/>
      <c r="AB39" s="5"/>
      <c r="AC39" s="5"/>
    </row>
    <row r="40" spans="2:29" x14ac:dyDescent="0.2">
      <c r="B40" s="24" t="s">
        <v>2</v>
      </c>
      <c r="C40" s="24" t="s">
        <v>11</v>
      </c>
      <c r="D40" s="24" t="s">
        <v>12</v>
      </c>
      <c r="E40" s="24" t="s">
        <v>4</v>
      </c>
      <c r="F40" s="24" t="s">
        <v>18</v>
      </c>
      <c r="G40" s="24" t="s">
        <v>11</v>
      </c>
      <c r="H40" s="24" t="s">
        <v>12</v>
      </c>
      <c r="I40" s="24" t="s">
        <v>4</v>
      </c>
      <c r="J40" s="24" t="s">
        <v>18</v>
      </c>
      <c r="K40" s="24"/>
      <c r="L40" s="24"/>
      <c r="M40" s="24"/>
      <c r="N40" s="24"/>
      <c r="O40" s="25" t="s">
        <v>5</v>
      </c>
      <c r="P40" s="24"/>
      <c r="Q40" s="24"/>
      <c r="R40" s="24"/>
      <c r="S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2:29" x14ac:dyDescent="0.2">
      <c r="B41" s="36" t="s">
        <v>43</v>
      </c>
      <c r="C41" s="25"/>
      <c r="D41" s="25"/>
      <c r="E41" s="25"/>
      <c r="F41" s="26">
        <f>F32</f>
        <v>39995.185359675786</v>
      </c>
      <c r="G41" s="25"/>
      <c r="H41" s="25"/>
      <c r="I41" s="25"/>
      <c r="J41" s="26">
        <f>F32</f>
        <v>39995.185359675786</v>
      </c>
      <c r="K41" s="25"/>
      <c r="L41" s="25"/>
      <c r="M41" s="25"/>
      <c r="N41" s="25"/>
      <c r="O41" s="7">
        <f>F41-Raipur!F21</f>
        <v>-1348.4840425531875</v>
      </c>
      <c r="P41" s="25"/>
      <c r="Q41" s="25"/>
      <c r="R41" s="25"/>
      <c r="S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2:29" x14ac:dyDescent="0.2">
      <c r="B42" s="36" t="s">
        <v>26</v>
      </c>
      <c r="C42" s="5">
        <v>0.8</v>
      </c>
      <c r="D42" s="5" t="s">
        <v>13</v>
      </c>
      <c r="E42" s="7">
        <f>I15</f>
        <v>39995.185359675786</v>
      </c>
      <c r="F42" s="7">
        <f>E42*C42/100</f>
        <v>319.9614828774063</v>
      </c>
      <c r="G42" s="5">
        <v>1.2</v>
      </c>
      <c r="H42" s="5" t="s">
        <v>13</v>
      </c>
      <c r="I42" s="7">
        <f>E42</f>
        <v>39995.185359675786</v>
      </c>
      <c r="J42" s="7">
        <f>I42*G42/100</f>
        <v>479.94222431610945</v>
      </c>
      <c r="K42" s="36"/>
      <c r="L42" s="5"/>
      <c r="M42" s="5"/>
      <c r="N42" s="7"/>
      <c r="O42" s="7">
        <f>F42-Raipur!F22</f>
        <v>-10.787872340425565</v>
      </c>
      <c r="P42" s="5"/>
      <c r="Q42" s="5"/>
      <c r="R42" s="7"/>
      <c r="S42" s="7"/>
      <c r="U42" s="36"/>
      <c r="V42" s="5"/>
      <c r="W42" s="5"/>
      <c r="X42" s="7"/>
      <c r="Y42" s="7"/>
      <c r="Z42" s="5"/>
      <c r="AA42" s="5"/>
      <c r="AB42" s="7"/>
      <c r="AC42" s="7"/>
    </row>
    <row r="43" spans="2:29" x14ac:dyDescent="0.2">
      <c r="B43" s="36" t="s">
        <v>9</v>
      </c>
      <c r="C43" s="5">
        <v>120</v>
      </c>
      <c r="D43" s="5" t="s">
        <v>27</v>
      </c>
      <c r="E43" s="5">
        <v>6.5</v>
      </c>
      <c r="F43" s="7">
        <f>E43*C43</f>
        <v>780</v>
      </c>
      <c r="G43" s="5">
        <v>120</v>
      </c>
      <c r="H43" s="5" t="s">
        <v>27</v>
      </c>
      <c r="I43" s="5">
        <v>6.5</v>
      </c>
      <c r="J43" s="7">
        <f>I43*G43</f>
        <v>780</v>
      </c>
      <c r="K43" s="36"/>
      <c r="L43" s="5"/>
      <c r="M43" s="5"/>
      <c r="N43" s="5"/>
      <c r="O43" s="7">
        <f>F43-Raipur!F23</f>
        <v>0</v>
      </c>
      <c r="P43" s="5"/>
      <c r="Q43" s="5"/>
      <c r="R43" s="5"/>
      <c r="S43" s="7"/>
      <c r="U43" s="36"/>
      <c r="V43" s="5"/>
      <c r="W43" s="5"/>
      <c r="X43" s="5"/>
      <c r="Y43" s="7"/>
      <c r="Z43" s="5"/>
      <c r="AA43" s="5"/>
      <c r="AB43" s="5"/>
      <c r="AC43" s="7"/>
    </row>
    <row r="44" spans="2:29" x14ac:dyDescent="0.2">
      <c r="B44" s="36" t="s">
        <v>28</v>
      </c>
      <c r="C44" s="5">
        <v>1</v>
      </c>
      <c r="D44" s="5" t="s">
        <v>29</v>
      </c>
      <c r="E44" s="5">
        <v>400</v>
      </c>
      <c r="F44" s="5">
        <f>E44*C44</f>
        <v>400</v>
      </c>
      <c r="G44" s="5">
        <v>1</v>
      </c>
      <c r="H44" s="5" t="s">
        <v>29</v>
      </c>
      <c r="I44" s="5">
        <v>400</v>
      </c>
      <c r="J44" s="5">
        <f>I44*G44</f>
        <v>400</v>
      </c>
      <c r="K44" s="36"/>
      <c r="L44" s="5"/>
      <c r="M44" s="5"/>
      <c r="N44" s="5"/>
      <c r="O44" s="7">
        <f>F44-Raipur!F24</f>
        <v>0</v>
      </c>
      <c r="P44" s="5"/>
      <c r="Q44" s="5"/>
      <c r="R44" s="5"/>
      <c r="S44" s="5"/>
      <c r="U44" s="36"/>
      <c r="V44" s="5"/>
      <c r="W44" s="5"/>
      <c r="X44" s="5"/>
      <c r="Y44" s="5"/>
      <c r="Z44" s="5"/>
      <c r="AA44" s="5"/>
      <c r="AB44" s="5"/>
      <c r="AC44" s="5"/>
    </row>
    <row r="45" spans="2:29" x14ac:dyDescent="0.2">
      <c r="B45" s="36" t="s">
        <v>10</v>
      </c>
      <c r="C45" s="5">
        <v>1</v>
      </c>
      <c r="D45" s="5" t="s">
        <v>29</v>
      </c>
      <c r="E45" s="5">
        <v>700</v>
      </c>
      <c r="F45" s="5">
        <f>E45*C45</f>
        <v>700</v>
      </c>
      <c r="G45" s="5">
        <v>1</v>
      </c>
      <c r="H45" s="5" t="s">
        <v>29</v>
      </c>
      <c r="I45" s="5">
        <v>700</v>
      </c>
      <c r="J45" s="5">
        <f>I45*G45</f>
        <v>700</v>
      </c>
      <c r="K45" s="36"/>
      <c r="L45" s="5"/>
      <c r="M45" s="5"/>
      <c r="N45" s="5"/>
      <c r="O45" s="7">
        <f>F45-Raipur!F25</f>
        <v>0</v>
      </c>
      <c r="P45" s="5"/>
      <c r="Q45" s="5"/>
      <c r="R45" s="5"/>
      <c r="S45" s="5"/>
      <c r="U45" s="36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B46" s="36" t="s">
        <v>32</v>
      </c>
      <c r="C46" s="5">
        <v>0</v>
      </c>
      <c r="D46" s="5" t="s">
        <v>33</v>
      </c>
      <c r="E46" s="5">
        <v>47</v>
      </c>
      <c r="F46" s="5">
        <f>E46*C46</f>
        <v>0</v>
      </c>
      <c r="G46" s="5">
        <v>40</v>
      </c>
      <c r="H46" s="5" t="s">
        <v>33</v>
      </c>
      <c r="I46" s="5">
        <v>47</v>
      </c>
      <c r="J46" s="5">
        <f>I46*G46</f>
        <v>1880</v>
      </c>
      <c r="K46" s="36"/>
      <c r="L46" s="5"/>
      <c r="M46" s="5"/>
      <c r="N46" s="5"/>
      <c r="O46" s="7">
        <f>F46-Raipur!F26</f>
        <v>0</v>
      </c>
      <c r="P46" s="5"/>
      <c r="Q46" s="5"/>
      <c r="R46" s="5"/>
      <c r="S46" s="5"/>
      <c r="U46" s="36"/>
      <c r="V46" s="5"/>
      <c r="W46" s="5"/>
      <c r="X46" s="5"/>
      <c r="Y46" s="5"/>
      <c r="Z46" s="5"/>
      <c r="AA46" s="5"/>
      <c r="AB46" s="5"/>
      <c r="AC46" s="5"/>
    </row>
    <row r="47" spans="2:29" x14ac:dyDescent="0.2">
      <c r="B47" s="36" t="s">
        <v>30</v>
      </c>
      <c r="C47" s="5">
        <v>0</v>
      </c>
      <c r="D47" s="5" t="s">
        <v>13</v>
      </c>
      <c r="E47" s="7">
        <f>SUM(F41:F46)</f>
        <v>42195.146842553193</v>
      </c>
      <c r="F47" s="7">
        <f>E47*C47/100</f>
        <v>0</v>
      </c>
      <c r="G47" s="5">
        <v>0.5</v>
      </c>
      <c r="H47" s="5" t="s">
        <v>13</v>
      </c>
      <c r="I47" s="7">
        <f>SUM(J41:J46)</f>
        <v>44235.127583991896</v>
      </c>
      <c r="J47" s="7">
        <f>I47*G47/100</f>
        <v>221.17563791995948</v>
      </c>
      <c r="K47" s="36"/>
      <c r="L47" s="5"/>
      <c r="M47" s="5"/>
      <c r="N47" s="7"/>
      <c r="O47" s="7">
        <f>F47-Raipur!F27</f>
        <v>0</v>
      </c>
      <c r="P47" s="5"/>
      <c r="Q47" s="5"/>
      <c r="R47" s="7"/>
      <c r="S47" s="7"/>
      <c r="U47" s="36"/>
      <c r="V47" s="5"/>
      <c r="W47" s="5"/>
      <c r="X47" s="7"/>
      <c r="Y47" s="7"/>
      <c r="Z47" s="5"/>
      <c r="AA47" s="5"/>
      <c r="AB47" s="7"/>
      <c r="AC47" s="7"/>
    </row>
    <row r="48" spans="2:29" x14ac:dyDescent="0.2">
      <c r="B48" s="37" t="s">
        <v>31</v>
      </c>
      <c r="C48" s="27"/>
      <c r="D48" s="27"/>
      <c r="E48" s="27"/>
      <c r="F48" s="28">
        <f>SUM(F42:F47)</f>
        <v>2199.9614828774065</v>
      </c>
      <c r="G48" s="27"/>
      <c r="H48" s="27"/>
      <c r="I48" s="27"/>
      <c r="J48" s="28">
        <f>SUM(J42:J47)</f>
        <v>4461.1178622360694</v>
      </c>
      <c r="K48" s="37"/>
      <c r="L48" s="27"/>
      <c r="M48" s="27"/>
      <c r="N48" s="27"/>
      <c r="O48" s="7">
        <f>F48-Raipur!F28</f>
        <v>-10.787872340425565</v>
      </c>
      <c r="P48" s="27"/>
      <c r="Q48" s="27"/>
      <c r="R48" s="27"/>
      <c r="S48" s="28"/>
      <c r="U48" s="37"/>
      <c r="V48" s="27"/>
      <c r="W48" s="27"/>
      <c r="X48" s="27"/>
      <c r="Y48" s="28"/>
      <c r="Z48" s="27"/>
      <c r="AA48" s="27"/>
      <c r="AB48" s="27"/>
      <c r="AC48" s="28"/>
    </row>
    <row r="49" spans="2:29" x14ac:dyDescent="0.2">
      <c r="B49" s="36" t="s">
        <v>34</v>
      </c>
      <c r="C49" s="5">
        <v>4.5</v>
      </c>
      <c r="D49" s="5" t="s">
        <v>13</v>
      </c>
      <c r="E49" s="7">
        <f>SUM(F41:F47)</f>
        <v>42195.146842553193</v>
      </c>
      <c r="F49" s="7">
        <f>E49*C49/100</f>
        <v>1898.7816079148936</v>
      </c>
      <c r="G49" s="5">
        <v>4.5</v>
      </c>
      <c r="H49" s="5" t="s">
        <v>13</v>
      </c>
      <c r="I49" s="7">
        <f>SUM(J41:J47)</f>
        <v>44456.303221911854</v>
      </c>
      <c r="J49" s="7">
        <f>I49*G49/100</f>
        <v>2000.5336449860333</v>
      </c>
      <c r="K49" s="36"/>
      <c r="L49" s="5"/>
      <c r="M49" s="5"/>
      <c r="N49" s="7"/>
      <c r="O49" s="7">
        <f>F49-Raipur!F29</f>
        <v>-61.167236170212846</v>
      </c>
      <c r="P49" s="5"/>
      <c r="Q49" s="5"/>
      <c r="R49" s="7"/>
      <c r="S49" s="7"/>
      <c r="U49" s="36"/>
      <c r="V49" s="5"/>
      <c r="W49" s="5"/>
      <c r="X49" s="7"/>
      <c r="Y49" s="7"/>
      <c r="Z49" s="5"/>
      <c r="AA49" s="5"/>
      <c r="AB49" s="7"/>
      <c r="AC49" s="7"/>
    </row>
    <row r="50" spans="2:29" x14ac:dyDescent="0.2">
      <c r="B50" s="36" t="s">
        <v>46</v>
      </c>
      <c r="C50" s="5">
        <v>-25</v>
      </c>
      <c r="D50" s="5" t="s">
        <v>14</v>
      </c>
      <c r="E50" s="7">
        <v>36</v>
      </c>
      <c r="F50" s="5">
        <f>E50*C50</f>
        <v>-900</v>
      </c>
      <c r="G50" s="5">
        <v>-30</v>
      </c>
      <c r="H50" s="5" t="s">
        <v>14</v>
      </c>
      <c r="I50" s="7">
        <v>36</v>
      </c>
      <c r="J50" s="5">
        <f>I50*G50</f>
        <v>-1080</v>
      </c>
      <c r="K50" s="36"/>
      <c r="L50" s="5"/>
      <c r="M50" s="5"/>
      <c r="N50" s="7"/>
      <c r="O50" s="7">
        <f>F50-Raipur!F30</f>
        <v>0</v>
      </c>
      <c r="P50" s="5"/>
      <c r="Q50" s="5"/>
      <c r="R50" s="7"/>
      <c r="S50" s="5"/>
      <c r="U50" s="36"/>
      <c r="V50" s="5"/>
      <c r="W50" s="5"/>
      <c r="X50" s="7"/>
      <c r="Y50" s="5"/>
      <c r="Z50" s="5"/>
      <c r="AA50" s="5"/>
      <c r="AB50" s="7"/>
      <c r="AC50" s="5"/>
    </row>
    <row r="51" spans="2:29" x14ac:dyDescent="0.2">
      <c r="B51" s="36" t="s">
        <v>47</v>
      </c>
      <c r="C51" s="5">
        <v>-20</v>
      </c>
      <c r="D51" s="5" t="s">
        <v>14</v>
      </c>
      <c r="E51" s="7">
        <v>43</v>
      </c>
      <c r="F51" s="5">
        <f>E51*C51</f>
        <v>-860</v>
      </c>
      <c r="G51" s="5">
        <v>-20</v>
      </c>
      <c r="H51" s="5" t="s">
        <v>14</v>
      </c>
      <c r="I51" s="7">
        <v>43</v>
      </c>
      <c r="J51" s="5">
        <f>I51*G51</f>
        <v>-860</v>
      </c>
      <c r="K51" s="36"/>
      <c r="L51" s="5"/>
      <c r="M51" s="5"/>
      <c r="N51" s="7"/>
      <c r="O51" s="7">
        <f>F51-Raipur!F31</f>
        <v>0</v>
      </c>
      <c r="P51" s="5"/>
      <c r="Q51" s="5"/>
      <c r="R51" s="7"/>
      <c r="S51" s="5"/>
      <c r="U51" s="36"/>
      <c r="V51" s="5"/>
      <c r="W51" s="5"/>
      <c r="X51" s="7"/>
      <c r="Y51" s="5"/>
      <c r="Z51" s="5"/>
      <c r="AA51" s="5"/>
      <c r="AB51" s="7"/>
      <c r="AC51" s="5"/>
    </row>
    <row r="52" spans="2:29" x14ac:dyDescent="0.2">
      <c r="B52" s="38" t="s">
        <v>39</v>
      </c>
      <c r="C52" s="29" t="s">
        <v>17</v>
      </c>
      <c r="D52" s="29" t="s">
        <v>29</v>
      </c>
      <c r="E52" s="29">
        <v>500</v>
      </c>
      <c r="F52" s="30">
        <v>500</v>
      </c>
      <c r="G52" s="29" t="s">
        <v>17</v>
      </c>
      <c r="H52" s="29" t="s">
        <v>29</v>
      </c>
      <c r="I52" s="29">
        <v>500</v>
      </c>
      <c r="J52" s="30">
        <v>500</v>
      </c>
      <c r="K52" s="38"/>
      <c r="L52" s="29"/>
      <c r="M52" s="29"/>
      <c r="N52" s="29"/>
      <c r="O52" s="7">
        <f>F52-Raipur!F32</f>
        <v>0</v>
      </c>
      <c r="P52" s="29"/>
      <c r="Q52" s="29"/>
      <c r="R52" s="29"/>
      <c r="S52" s="30"/>
      <c r="U52" s="38"/>
      <c r="V52" s="29"/>
      <c r="W52" s="29"/>
      <c r="X52" s="29"/>
      <c r="Y52" s="30"/>
      <c r="Z52" s="29"/>
      <c r="AA52" s="29"/>
      <c r="AB52" s="29"/>
      <c r="AC52" s="30"/>
    </row>
    <row r="53" spans="2:29" x14ac:dyDescent="0.2">
      <c r="B53" s="39" t="s">
        <v>5</v>
      </c>
      <c r="C53" s="31"/>
      <c r="D53" s="31"/>
      <c r="E53" s="31"/>
      <c r="F53" s="32">
        <f>F48+I15+F52</f>
        <v>42695.146842553193</v>
      </c>
      <c r="G53" s="31"/>
      <c r="H53" s="31"/>
      <c r="I53" s="31"/>
      <c r="J53" s="32">
        <f>J52+I15+J48</f>
        <v>44956.303221911854</v>
      </c>
      <c r="K53" s="39"/>
      <c r="L53" s="31"/>
      <c r="M53" s="31"/>
      <c r="N53" s="31"/>
      <c r="O53" s="7">
        <f>F53-Raipur!F33</f>
        <v>-1359.2719148936158</v>
      </c>
      <c r="P53" s="31"/>
      <c r="Q53" s="31"/>
      <c r="R53" s="31"/>
      <c r="S53" s="32"/>
      <c r="U53" s="39"/>
      <c r="V53" s="31"/>
      <c r="W53" s="31"/>
      <c r="X53" s="31"/>
      <c r="Y53" s="32"/>
      <c r="Z53" s="31"/>
      <c r="AA53" s="31"/>
      <c r="AB53" s="31"/>
      <c r="AC53" s="32"/>
    </row>
    <row r="54" spans="2:29" x14ac:dyDescent="0.2">
      <c r="B54" s="36" t="s">
        <v>35</v>
      </c>
      <c r="C54" s="5"/>
      <c r="D54" s="5"/>
      <c r="E54" s="5"/>
      <c r="F54" s="83">
        <v>43700</v>
      </c>
      <c r="G54" s="5"/>
      <c r="H54" s="5"/>
      <c r="I54" s="5"/>
      <c r="J54" s="25">
        <f>F54</f>
        <v>43700</v>
      </c>
      <c r="K54" s="36"/>
      <c r="L54" s="5"/>
      <c r="M54" s="5"/>
      <c r="N54" s="5"/>
      <c r="O54" s="7">
        <f>F54-Raipur!F34</f>
        <v>-2500</v>
      </c>
      <c r="P54" s="5"/>
      <c r="Q54" s="5"/>
      <c r="R54" s="5"/>
      <c r="S54" s="25"/>
      <c r="U54" s="36"/>
      <c r="V54" s="5"/>
      <c r="W54" s="5"/>
      <c r="X54" s="5"/>
      <c r="Y54" s="25"/>
      <c r="Z54" s="5"/>
      <c r="AA54" s="5"/>
      <c r="AB54" s="5"/>
      <c r="AC54" s="25"/>
    </row>
    <row r="55" spans="2:29" x14ac:dyDescent="0.2">
      <c r="B55" s="40" t="s">
        <v>36</v>
      </c>
      <c r="C55" s="33"/>
      <c r="D55" s="33"/>
      <c r="E55" s="33"/>
      <c r="F55" s="34">
        <f>F54-F53</f>
        <v>1004.853157446807</v>
      </c>
      <c r="G55" s="33"/>
      <c r="H55" s="33"/>
      <c r="I55" s="33"/>
      <c r="J55" s="34">
        <f>J54-J53</f>
        <v>-1256.3032219118541</v>
      </c>
      <c r="K55" s="40"/>
      <c r="L55" s="33"/>
      <c r="M55" s="33"/>
      <c r="N55" s="33"/>
      <c r="O55" s="7">
        <f>F55-Raipur!F35</f>
        <v>-1140.7280851063842</v>
      </c>
      <c r="P55" s="33"/>
      <c r="Q55" s="33"/>
      <c r="R55" s="33"/>
      <c r="S55" s="34"/>
      <c r="U55" s="40"/>
      <c r="V55" s="33"/>
      <c r="W55" s="33"/>
      <c r="X55" s="33"/>
      <c r="Y55" s="34"/>
      <c r="Z55" s="33"/>
      <c r="AA55" s="33"/>
      <c r="AB55" s="33"/>
      <c r="AC55" s="34"/>
    </row>
    <row r="57" spans="2:29" x14ac:dyDescent="0.2">
      <c r="F57" s="22">
        <f>F53-[1]Sheet1!F53</f>
        <v>1112.8209702127642</v>
      </c>
      <c r="O57" s="22"/>
    </row>
    <row r="58" spans="2:29" x14ac:dyDescent="0.2">
      <c r="F58" s="22">
        <f>F54-[1]Sheet1!F54</f>
        <v>1700</v>
      </c>
      <c r="O58" s="22"/>
    </row>
    <row r="59" spans="2:29" x14ac:dyDescent="0.2">
      <c r="F59" s="22">
        <f>F55-[1]Sheet1!F55</f>
        <v>587.17902978723578</v>
      </c>
      <c r="O59" s="22"/>
    </row>
    <row r="60" spans="2:29" x14ac:dyDescent="0.2">
      <c r="J60" s="1">
        <f>45.5+3</f>
        <v>48.5</v>
      </c>
    </row>
    <row r="62" spans="2:29" x14ac:dyDescent="0.2">
      <c r="H62" s="1">
        <f>52050-49300</f>
        <v>2750</v>
      </c>
    </row>
  </sheetData>
  <mergeCells count="12">
    <mergeCell ref="Z38:AC38"/>
    <mergeCell ref="C4:I4"/>
    <mergeCell ref="K4:Q4"/>
    <mergeCell ref="U4:AA4"/>
    <mergeCell ref="C21:F21"/>
    <mergeCell ref="L21:O21"/>
    <mergeCell ref="V21:Y21"/>
    <mergeCell ref="C38:F38"/>
    <mergeCell ref="G38:J38"/>
    <mergeCell ref="L38:O38"/>
    <mergeCell ref="P38:S38"/>
    <mergeCell ref="V38:Y38"/>
  </mergeCells>
  <pageMargins left="0.7" right="0.7" top="0.75" bottom="0.75" header="0.3" footer="0.3"/>
  <pageSetup paperSize="9" scale="36" orientation="portrait" verticalDpi="0" r:id="rId1"/>
  <colBreaks count="1" manualBreakCount="1">
    <brk id="20" max="54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BB4E-7542-7B4D-82E3-676271EBC665}">
  <dimension ref="B1:H108"/>
  <sheetViews>
    <sheetView workbookViewId="0">
      <selection activeCell="F16" sqref="F16"/>
    </sheetView>
  </sheetViews>
  <sheetFormatPr baseColWidth="10" defaultRowHeight="15" x14ac:dyDescent="0.2"/>
  <cols>
    <col min="7" max="7" width="37" customWidth="1"/>
    <col min="8" max="8" width="37.83203125" customWidth="1"/>
  </cols>
  <sheetData>
    <row r="1" spans="2:8" x14ac:dyDescent="0.2">
      <c r="B1" s="105"/>
      <c r="C1" s="103"/>
      <c r="D1" s="103"/>
      <c r="E1" s="105"/>
      <c r="F1" s="105"/>
      <c r="G1" s="88"/>
      <c r="H1" s="87"/>
    </row>
    <row r="2" spans="2:8" ht="16" x14ac:dyDescent="0.2">
      <c r="B2" s="106"/>
      <c r="C2" s="106"/>
      <c r="D2" s="106"/>
      <c r="E2" s="106"/>
      <c r="F2" s="106"/>
      <c r="G2" s="89"/>
      <c r="H2" s="90"/>
    </row>
    <row r="3" spans="2:8" x14ac:dyDescent="0.2">
      <c r="B3" s="107"/>
      <c r="C3" s="108"/>
      <c r="D3" s="108"/>
      <c r="E3" s="107"/>
      <c r="F3" s="107"/>
      <c r="G3" s="91"/>
      <c r="H3" s="95"/>
    </row>
    <row r="4" spans="2:8" x14ac:dyDescent="0.2">
      <c r="B4" s="107"/>
      <c r="C4" s="108"/>
      <c r="D4" s="108"/>
      <c r="E4" s="107"/>
      <c r="F4" s="107"/>
      <c r="G4" s="92"/>
      <c r="H4" s="95"/>
    </row>
    <row r="5" spans="2:8" x14ac:dyDescent="0.2">
      <c r="B5" s="107"/>
      <c r="C5" s="108"/>
      <c r="D5" s="108"/>
      <c r="E5" s="107"/>
      <c r="F5" s="107"/>
      <c r="G5" s="93"/>
      <c r="H5" s="95"/>
    </row>
    <row r="6" spans="2:8" x14ac:dyDescent="0.2">
      <c r="B6" s="107"/>
      <c r="C6" s="108"/>
      <c r="D6" s="108"/>
      <c r="E6" s="107"/>
      <c r="F6" s="107"/>
      <c r="G6" s="93"/>
      <c r="H6" s="95"/>
    </row>
    <row r="7" spans="2:8" x14ac:dyDescent="0.2">
      <c r="B7" s="109"/>
      <c r="C7" s="110"/>
      <c r="D7" s="110"/>
      <c r="E7" s="109"/>
      <c r="F7" s="109"/>
      <c r="G7" s="94"/>
      <c r="H7" s="95"/>
    </row>
    <row r="8" spans="2:8" x14ac:dyDescent="0.2">
      <c r="B8" s="107"/>
      <c r="C8" s="108"/>
      <c r="D8" s="108"/>
      <c r="E8" s="107"/>
      <c r="F8" s="107"/>
      <c r="G8" s="154"/>
      <c r="H8" s="95"/>
    </row>
    <row r="9" spans="2:8" x14ac:dyDescent="0.2">
      <c r="B9" s="107"/>
      <c r="C9" s="108"/>
      <c r="D9" s="108"/>
      <c r="E9" s="107"/>
      <c r="F9" s="107"/>
      <c r="G9" s="155"/>
      <c r="H9" s="95"/>
    </row>
    <row r="10" spans="2:8" x14ac:dyDescent="0.2">
      <c r="B10" s="107"/>
      <c r="C10" s="108"/>
      <c r="D10" s="108"/>
      <c r="E10" s="107"/>
      <c r="F10" s="107"/>
      <c r="G10" s="155"/>
      <c r="H10" s="95"/>
    </row>
    <row r="11" spans="2:8" x14ac:dyDescent="0.2">
      <c r="B11" s="107"/>
      <c r="C11" s="108"/>
      <c r="D11" s="108"/>
      <c r="E11" s="107"/>
      <c r="F11" s="107"/>
      <c r="G11" s="88"/>
      <c r="H11" s="87"/>
    </row>
    <row r="12" spans="2:8" x14ac:dyDescent="0.2">
      <c r="B12" s="107"/>
      <c r="C12" s="108"/>
      <c r="D12" s="108"/>
      <c r="E12" s="107"/>
      <c r="F12" s="107"/>
      <c r="G12" s="96"/>
      <c r="H12" s="156"/>
    </row>
    <row r="13" spans="2:8" x14ac:dyDescent="0.2">
      <c r="B13" s="107"/>
      <c r="C13" s="108"/>
      <c r="D13" s="108"/>
      <c r="E13" s="107"/>
      <c r="F13" s="107"/>
      <c r="G13" s="96"/>
      <c r="H13" s="156"/>
    </row>
    <row r="14" spans="2:8" x14ac:dyDescent="0.2">
      <c r="B14" s="107"/>
      <c r="C14" s="108"/>
      <c r="D14" s="108"/>
      <c r="E14" s="107"/>
      <c r="F14" s="107"/>
      <c r="G14" s="157"/>
      <c r="H14" s="95"/>
    </row>
    <row r="15" spans="2:8" x14ac:dyDescent="0.2">
      <c r="B15" s="107"/>
      <c r="C15" s="108"/>
      <c r="D15" s="108"/>
      <c r="E15" s="107"/>
      <c r="F15" s="107"/>
      <c r="G15" s="158"/>
      <c r="H15" s="95"/>
    </row>
    <row r="16" spans="2:8" x14ac:dyDescent="0.2">
      <c r="B16" s="107"/>
      <c r="C16" s="108"/>
      <c r="D16" s="108"/>
      <c r="E16" s="107"/>
      <c r="F16" s="107"/>
      <c r="G16" s="159"/>
      <c r="H16" s="95"/>
    </row>
    <row r="17" spans="2:8" x14ac:dyDescent="0.2">
      <c r="B17" s="107"/>
      <c r="C17" s="108"/>
      <c r="D17" s="108"/>
      <c r="E17" s="107"/>
      <c r="F17" s="107"/>
      <c r="G17" s="157"/>
      <c r="H17" s="95"/>
    </row>
    <row r="18" spans="2:8" x14ac:dyDescent="0.2">
      <c r="B18" s="107"/>
      <c r="C18" s="108"/>
      <c r="D18" s="108"/>
      <c r="E18" s="107"/>
      <c r="F18" s="107"/>
      <c r="G18" s="158"/>
      <c r="H18" s="95"/>
    </row>
    <row r="19" spans="2:8" x14ac:dyDescent="0.2">
      <c r="B19" s="107"/>
      <c r="C19" s="108"/>
      <c r="D19" s="108"/>
      <c r="E19" s="107"/>
      <c r="F19" s="107"/>
      <c r="G19" s="159"/>
      <c r="H19" s="95"/>
    </row>
    <row r="20" spans="2:8" x14ac:dyDescent="0.2">
      <c r="B20" s="107"/>
      <c r="C20" s="108"/>
      <c r="D20" s="108"/>
      <c r="E20" s="107"/>
      <c r="F20" s="107"/>
      <c r="G20" s="97"/>
      <c r="H20" s="87"/>
    </row>
    <row r="21" spans="2:8" x14ac:dyDescent="0.2">
      <c r="B21" s="107"/>
      <c r="C21" s="108"/>
      <c r="D21" s="108"/>
      <c r="E21" s="107"/>
      <c r="F21" s="107"/>
      <c r="G21" s="157"/>
      <c r="H21" s="98"/>
    </row>
    <row r="22" spans="2:8" x14ac:dyDescent="0.2">
      <c r="B22" s="107"/>
      <c r="C22" s="108"/>
      <c r="D22" s="108"/>
      <c r="E22" s="107"/>
      <c r="F22" s="107"/>
      <c r="G22" s="158"/>
      <c r="H22" s="98"/>
    </row>
    <row r="23" spans="2:8" x14ac:dyDescent="0.2">
      <c r="B23" s="111"/>
      <c r="C23" s="112"/>
      <c r="D23" s="112"/>
      <c r="E23" s="111"/>
      <c r="F23" s="111"/>
      <c r="G23" s="159"/>
      <c r="H23" s="98"/>
    </row>
    <row r="24" spans="2:8" x14ac:dyDescent="0.2">
      <c r="B24" s="107"/>
      <c r="C24" s="108"/>
      <c r="D24" s="108"/>
      <c r="E24" s="107"/>
      <c r="F24" s="107"/>
      <c r="G24" s="88"/>
      <c r="H24" s="98"/>
    </row>
    <row r="25" spans="2:8" x14ac:dyDescent="0.2">
      <c r="B25" s="111"/>
      <c r="C25" s="111"/>
      <c r="D25" s="111"/>
      <c r="E25" s="111"/>
      <c r="F25" s="111"/>
      <c r="G25" s="99"/>
      <c r="H25" s="100"/>
    </row>
    <row r="26" spans="2:8" x14ac:dyDescent="0.2">
      <c r="B26" s="107"/>
      <c r="C26" s="108"/>
      <c r="D26" s="108"/>
      <c r="E26" s="107"/>
      <c r="F26" s="107"/>
      <c r="G26" s="152"/>
      <c r="H26" s="95"/>
    </row>
    <row r="27" spans="2:8" x14ac:dyDescent="0.2">
      <c r="B27" s="107"/>
      <c r="C27" s="108"/>
      <c r="D27" s="108"/>
      <c r="E27" s="107"/>
      <c r="F27" s="107"/>
      <c r="G27" s="153"/>
      <c r="H27" s="95"/>
    </row>
    <row r="28" spans="2:8" x14ac:dyDescent="0.2">
      <c r="B28" s="107"/>
      <c r="C28" s="108"/>
      <c r="D28" s="108"/>
      <c r="E28" s="107"/>
      <c r="F28" s="107"/>
      <c r="G28" s="153"/>
      <c r="H28" s="95"/>
    </row>
    <row r="29" spans="2:8" x14ac:dyDescent="0.2">
      <c r="B29" s="107"/>
      <c r="C29" s="108"/>
      <c r="D29" s="108"/>
      <c r="E29" s="107"/>
      <c r="F29" s="107"/>
      <c r="G29" s="88"/>
      <c r="H29" s="87"/>
    </row>
    <row r="30" spans="2:8" x14ac:dyDescent="0.2">
      <c r="B30" s="107"/>
      <c r="C30" s="108"/>
      <c r="D30" s="108"/>
      <c r="E30" s="107"/>
      <c r="F30" s="107"/>
      <c r="G30" s="101"/>
      <c r="H30" s="87"/>
    </row>
    <row r="31" spans="2:8" x14ac:dyDescent="0.2">
      <c r="B31" s="107"/>
      <c r="C31" s="108"/>
      <c r="D31" s="108"/>
      <c r="E31" s="107"/>
      <c r="F31" s="107"/>
      <c r="G31" s="96"/>
      <c r="H31" s="87"/>
    </row>
    <row r="32" spans="2:8" x14ac:dyDescent="0.2">
      <c r="B32" s="107"/>
      <c r="C32" s="108"/>
      <c r="D32" s="108"/>
      <c r="E32" s="107"/>
      <c r="F32" s="107"/>
      <c r="G32" s="88"/>
      <c r="H32" s="95"/>
    </row>
    <row r="33" spans="2:8" x14ac:dyDescent="0.2">
      <c r="B33" s="107"/>
      <c r="C33" s="108"/>
      <c r="D33" s="108"/>
      <c r="E33" s="107"/>
      <c r="F33" s="107"/>
      <c r="G33" s="88"/>
      <c r="H33" s="87"/>
    </row>
    <row r="34" spans="2:8" x14ac:dyDescent="0.2">
      <c r="B34" s="107"/>
      <c r="C34" s="108"/>
      <c r="D34" s="108"/>
      <c r="E34" s="107"/>
      <c r="F34" s="107"/>
      <c r="G34" s="88"/>
      <c r="H34" s="87"/>
    </row>
    <row r="35" spans="2:8" x14ac:dyDescent="0.2">
      <c r="B35" s="107"/>
      <c r="C35" s="108"/>
      <c r="D35" s="108"/>
      <c r="E35" s="107"/>
      <c r="F35" s="107"/>
      <c r="G35" s="96"/>
      <c r="H35" s="95"/>
    </row>
    <row r="36" spans="2:8" x14ac:dyDescent="0.2">
      <c r="B36" s="107"/>
      <c r="C36" s="108"/>
      <c r="D36" s="108"/>
      <c r="E36" s="107"/>
      <c r="F36" s="107"/>
      <c r="G36" s="102"/>
      <c r="H36" s="95"/>
    </row>
    <row r="37" spans="2:8" x14ac:dyDescent="0.2">
      <c r="B37" s="107"/>
      <c r="C37" s="108"/>
      <c r="D37" s="108"/>
      <c r="E37" s="107"/>
      <c r="F37" s="107"/>
      <c r="G37" s="96"/>
      <c r="H37" s="103"/>
    </row>
    <row r="38" spans="2:8" x14ac:dyDescent="0.2">
      <c r="B38" s="107"/>
      <c r="C38" s="108"/>
      <c r="D38" s="108"/>
      <c r="E38" s="107"/>
      <c r="F38" s="107"/>
      <c r="G38" s="88"/>
      <c r="H38" s="87"/>
    </row>
    <row r="39" spans="2:8" x14ac:dyDescent="0.2">
      <c r="B39" s="107"/>
      <c r="C39" s="108"/>
      <c r="D39" s="108"/>
      <c r="E39" s="107"/>
      <c r="F39" s="107"/>
      <c r="G39" s="88"/>
      <c r="H39" s="87"/>
    </row>
    <row r="40" spans="2:8" x14ac:dyDescent="0.2">
      <c r="B40" s="107"/>
      <c r="C40" s="108"/>
      <c r="D40" s="108"/>
      <c r="E40" s="107"/>
      <c r="F40" s="107"/>
      <c r="G40" s="88"/>
      <c r="H40" s="87"/>
    </row>
    <row r="41" spans="2:8" x14ac:dyDescent="0.2">
      <c r="B41" s="107"/>
      <c r="C41" s="108"/>
      <c r="D41" s="108"/>
      <c r="E41" s="107"/>
      <c r="F41" s="107"/>
      <c r="G41" s="88"/>
      <c r="H41" s="95"/>
    </row>
    <row r="42" spans="2:8" x14ac:dyDescent="0.2">
      <c r="B42" s="107"/>
      <c r="C42" s="108"/>
      <c r="D42" s="108"/>
      <c r="E42" s="107"/>
      <c r="F42" s="107"/>
      <c r="G42" s="88"/>
      <c r="H42" s="87"/>
    </row>
    <row r="43" spans="2:8" x14ac:dyDescent="0.2">
      <c r="B43" s="107"/>
      <c r="C43" s="108"/>
      <c r="D43" s="108"/>
      <c r="E43" s="107"/>
      <c r="F43" s="107"/>
      <c r="G43" s="88"/>
      <c r="H43" s="87"/>
    </row>
    <row r="44" spans="2:8" x14ac:dyDescent="0.2">
      <c r="B44" s="107"/>
      <c r="C44" s="108"/>
      <c r="D44" s="108"/>
      <c r="E44" s="107"/>
      <c r="F44" s="107"/>
      <c r="G44" s="88"/>
      <c r="H44" s="87"/>
    </row>
    <row r="45" spans="2:8" x14ac:dyDescent="0.2">
      <c r="B45" s="107"/>
      <c r="C45" s="108"/>
      <c r="D45" s="108"/>
      <c r="E45" s="107"/>
      <c r="F45" s="107"/>
      <c r="G45" s="91"/>
      <c r="H45" s="95"/>
    </row>
    <row r="46" spans="2:8" x14ac:dyDescent="0.2">
      <c r="B46" s="113"/>
      <c r="C46" s="114"/>
      <c r="D46" s="114"/>
      <c r="E46" s="113"/>
      <c r="F46" s="113"/>
      <c r="G46" s="104"/>
      <c r="H46" s="95"/>
    </row>
    <row r="47" spans="2:8" x14ac:dyDescent="0.2">
      <c r="B47" s="113"/>
      <c r="C47" s="115"/>
      <c r="D47" s="114"/>
      <c r="E47" s="113"/>
      <c r="F47" s="113"/>
      <c r="G47" s="94"/>
      <c r="H47" s="95"/>
    </row>
    <row r="48" spans="2:8" x14ac:dyDescent="0.2">
      <c r="B48" s="113"/>
      <c r="C48" s="115"/>
      <c r="D48" s="114"/>
      <c r="E48" s="113"/>
      <c r="F48" s="113"/>
      <c r="G48" s="88"/>
      <c r="H48" s="87"/>
    </row>
    <row r="49" spans="2:8" x14ac:dyDescent="0.2">
      <c r="B49" s="113"/>
      <c r="C49" s="115"/>
      <c r="D49" s="114"/>
      <c r="E49" s="113"/>
      <c r="F49" s="113"/>
      <c r="G49" s="88"/>
      <c r="H49" s="87"/>
    </row>
    <row r="50" spans="2:8" x14ac:dyDescent="0.2">
      <c r="B50" s="113"/>
      <c r="C50" s="115"/>
      <c r="D50" s="114"/>
      <c r="E50" s="113"/>
      <c r="F50" s="113"/>
      <c r="G50" s="88"/>
      <c r="H50" s="87"/>
    </row>
    <row r="51" spans="2:8" x14ac:dyDescent="0.2">
      <c r="B51" s="113"/>
      <c r="C51" s="115"/>
      <c r="D51" s="114"/>
      <c r="E51" s="113"/>
      <c r="F51" s="113"/>
      <c r="G51" s="88"/>
      <c r="H51" s="87"/>
    </row>
    <row r="52" spans="2:8" x14ac:dyDescent="0.2">
      <c r="B52" s="113"/>
      <c r="C52" s="115"/>
      <c r="D52" s="114"/>
      <c r="E52" s="113"/>
      <c r="F52" s="113"/>
      <c r="G52" s="88"/>
      <c r="H52" s="87"/>
    </row>
    <row r="53" spans="2:8" x14ac:dyDescent="0.2">
      <c r="B53" s="113"/>
      <c r="C53" s="115"/>
      <c r="D53" s="114"/>
      <c r="E53" s="113"/>
      <c r="F53" s="113"/>
      <c r="G53" s="88"/>
      <c r="H53" s="87"/>
    </row>
    <row r="54" spans="2:8" x14ac:dyDescent="0.2">
      <c r="B54" s="113"/>
      <c r="C54" s="115"/>
      <c r="D54" s="114"/>
      <c r="E54" s="113"/>
      <c r="F54" s="113"/>
      <c r="G54" s="88"/>
      <c r="H54" s="87"/>
    </row>
    <row r="55" spans="2:8" x14ac:dyDescent="0.2">
      <c r="B55" s="113"/>
      <c r="C55" s="115"/>
      <c r="D55" s="114"/>
      <c r="E55" s="113"/>
      <c r="F55" s="113"/>
      <c r="G55" s="88"/>
      <c r="H55" s="87"/>
    </row>
    <row r="56" spans="2:8" x14ac:dyDescent="0.2">
      <c r="B56" s="113"/>
      <c r="C56" s="115"/>
      <c r="D56" s="114"/>
      <c r="E56" s="113"/>
      <c r="F56" s="113"/>
      <c r="G56" s="88"/>
      <c r="H56" s="87"/>
    </row>
    <row r="57" spans="2:8" x14ac:dyDescent="0.2">
      <c r="B57" s="113"/>
      <c r="C57" s="115"/>
      <c r="D57" s="114"/>
      <c r="E57" s="113"/>
      <c r="F57" s="113"/>
      <c r="G57" s="88"/>
      <c r="H57" s="87"/>
    </row>
    <row r="58" spans="2:8" x14ac:dyDescent="0.2">
      <c r="B58" s="113"/>
      <c r="C58" s="115"/>
      <c r="D58" s="114"/>
      <c r="E58" s="113"/>
      <c r="F58" s="113"/>
      <c r="G58" s="88"/>
      <c r="H58" s="87"/>
    </row>
    <row r="59" spans="2:8" x14ac:dyDescent="0.2">
      <c r="B59" s="113"/>
      <c r="C59" s="115"/>
      <c r="D59" s="114"/>
      <c r="E59" s="113"/>
      <c r="F59" s="113"/>
      <c r="G59" s="88"/>
      <c r="H59" s="87"/>
    </row>
    <row r="60" spans="2:8" x14ac:dyDescent="0.2">
      <c r="B60" s="113"/>
      <c r="C60" s="115"/>
      <c r="D60" s="114"/>
      <c r="E60" s="113"/>
      <c r="F60" s="113"/>
      <c r="G60" s="88"/>
      <c r="H60" s="87"/>
    </row>
    <row r="61" spans="2:8" x14ac:dyDescent="0.2">
      <c r="B61" s="113"/>
      <c r="C61" s="115"/>
      <c r="D61" s="114"/>
      <c r="E61" s="113"/>
      <c r="F61" s="113"/>
      <c r="G61" s="88"/>
      <c r="H61" s="87"/>
    </row>
    <row r="62" spans="2:8" x14ac:dyDescent="0.2">
      <c r="B62" s="113"/>
      <c r="C62" s="115"/>
      <c r="D62" s="114"/>
      <c r="E62" s="113"/>
      <c r="F62" s="113"/>
      <c r="G62" s="88"/>
      <c r="H62" s="87"/>
    </row>
    <row r="63" spans="2:8" x14ac:dyDescent="0.2">
      <c r="B63" s="113"/>
      <c r="C63" s="115"/>
      <c r="D63" s="114"/>
      <c r="E63" s="113"/>
      <c r="F63" s="113"/>
      <c r="G63" s="88"/>
      <c r="H63" s="87"/>
    </row>
    <row r="64" spans="2:8" x14ac:dyDescent="0.2">
      <c r="B64" s="113"/>
      <c r="C64" s="115"/>
      <c r="D64" s="114"/>
      <c r="E64" s="113"/>
      <c r="F64" s="113"/>
      <c r="G64" s="88"/>
      <c r="H64" s="87"/>
    </row>
    <row r="65" spans="2:8" x14ac:dyDescent="0.2">
      <c r="B65" s="113"/>
      <c r="C65" s="115"/>
      <c r="D65" s="114"/>
      <c r="E65" s="113"/>
      <c r="F65" s="113"/>
      <c r="G65" s="88"/>
      <c r="H65" s="87"/>
    </row>
    <row r="66" spans="2:8" x14ac:dyDescent="0.2">
      <c r="B66" s="113"/>
      <c r="C66" s="115"/>
      <c r="D66" s="114"/>
      <c r="E66" s="113"/>
      <c r="F66" s="113"/>
      <c r="G66" s="88"/>
      <c r="H66" s="87"/>
    </row>
    <row r="67" spans="2:8" x14ac:dyDescent="0.2">
      <c r="B67" s="113"/>
      <c r="C67" s="115"/>
      <c r="D67" s="114"/>
      <c r="E67" s="113"/>
      <c r="F67" s="113"/>
      <c r="G67" s="88"/>
      <c r="H67" s="87"/>
    </row>
    <row r="68" spans="2:8" x14ac:dyDescent="0.2">
      <c r="B68" s="113"/>
      <c r="C68" s="115"/>
      <c r="D68" s="114"/>
      <c r="E68" s="113"/>
      <c r="F68" s="113"/>
      <c r="G68" s="88"/>
      <c r="H68" s="87"/>
    </row>
    <row r="69" spans="2:8" x14ac:dyDescent="0.2">
      <c r="B69" s="113"/>
      <c r="C69" s="115"/>
      <c r="D69" s="114"/>
      <c r="E69" s="113"/>
      <c r="F69" s="113"/>
      <c r="G69" s="88"/>
      <c r="H69" s="87"/>
    </row>
    <row r="70" spans="2:8" x14ac:dyDescent="0.2">
      <c r="B70" s="113"/>
      <c r="C70" s="115"/>
      <c r="D70" s="114"/>
      <c r="E70" s="113"/>
      <c r="F70" s="113"/>
      <c r="G70" s="88"/>
      <c r="H70" s="87"/>
    </row>
    <row r="71" spans="2:8" x14ac:dyDescent="0.2">
      <c r="B71" s="113"/>
      <c r="C71" s="115"/>
      <c r="D71" s="114"/>
      <c r="E71" s="113"/>
      <c r="F71" s="113"/>
      <c r="G71" s="88"/>
      <c r="H71" s="87"/>
    </row>
    <row r="72" spans="2:8" x14ac:dyDescent="0.2">
      <c r="B72" s="113"/>
      <c r="C72" s="115"/>
      <c r="D72" s="114"/>
      <c r="E72" s="113"/>
      <c r="F72" s="113"/>
      <c r="G72" s="88"/>
      <c r="H72" s="87"/>
    </row>
    <row r="73" spans="2:8" x14ac:dyDescent="0.2">
      <c r="B73" s="113"/>
      <c r="C73" s="115"/>
      <c r="D73" s="114"/>
      <c r="E73" s="113"/>
      <c r="F73" s="113"/>
      <c r="G73" s="88"/>
      <c r="H73" s="87"/>
    </row>
    <row r="74" spans="2:8" x14ac:dyDescent="0.2">
      <c r="B74" s="113"/>
      <c r="C74" s="115"/>
      <c r="D74" s="114"/>
      <c r="E74" s="113"/>
      <c r="F74" s="113"/>
      <c r="G74" s="88"/>
      <c r="H74" s="87"/>
    </row>
    <row r="75" spans="2:8" x14ac:dyDescent="0.2">
      <c r="B75" s="113"/>
      <c r="C75" s="115"/>
      <c r="D75" s="114"/>
      <c r="E75" s="113"/>
      <c r="F75" s="113"/>
      <c r="G75" s="88"/>
      <c r="H75" s="87"/>
    </row>
    <row r="76" spans="2:8" x14ac:dyDescent="0.2">
      <c r="B76" s="113"/>
      <c r="C76" s="115"/>
      <c r="D76" s="114"/>
      <c r="E76" s="113"/>
      <c r="F76" s="113"/>
      <c r="G76" s="88"/>
      <c r="H76" s="87"/>
    </row>
    <row r="77" spans="2:8" x14ac:dyDescent="0.2">
      <c r="B77" s="113"/>
      <c r="C77" s="115"/>
      <c r="D77" s="114"/>
      <c r="E77" s="113"/>
      <c r="F77" s="113"/>
      <c r="G77" s="88"/>
      <c r="H77" s="87"/>
    </row>
    <row r="78" spans="2:8" x14ac:dyDescent="0.2">
      <c r="B78" s="113"/>
      <c r="C78" s="115"/>
      <c r="D78" s="114"/>
      <c r="E78" s="113"/>
      <c r="F78" s="113"/>
      <c r="G78" s="88"/>
      <c r="H78" s="87"/>
    </row>
    <row r="79" spans="2:8" x14ac:dyDescent="0.2">
      <c r="B79" s="113"/>
      <c r="C79" s="115"/>
      <c r="D79" s="114"/>
      <c r="E79" s="113"/>
      <c r="F79" s="113"/>
      <c r="G79" s="88"/>
      <c r="H79" s="87"/>
    </row>
    <row r="80" spans="2:8" x14ac:dyDescent="0.2">
      <c r="B80" s="113"/>
      <c r="C80" s="115"/>
      <c r="D80" s="114"/>
      <c r="E80" s="113"/>
      <c r="F80" s="113"/>
      <c r="G80" s="88"/>
      <c r="H80" s="87"/>
    </row>
    <row r="81" spans="2:8" x14ac:dyDescent="0.2">
      <c r="B81" s="113"/>
      <c r="C81" s="115"/>
      <c r="D81" s="114"/>
      <c r="E81" s="113"/>
      <c r="F81" s="113"/>
      <c r="G81" s="88"/>
      <c r="H81" s="87"/>
    </row>
    <row r="82" spans="2:8" x14ac:dyDescent="0.2">
      <c r="B82" s="113"/>
      <c r="C82" s="115"/>
      <c r="D82" s="114"/>
      <c r="E82" s="113"/>
      <c r="F82" s="113"/>
      <c r="G82" s="88"/>
      <c r="H82" s="87"/>
    </row>
    <row r="83" spans="2:8" x14ac:dyDescent="0.2">
      <c r="B83" s="113"/>
      <c r="C83" s="115"/>
      <c r="D83" s="114"/>
      <c r="E83" s="113"/>
      <c r="F83" s="113"/>
      <c r="G83" s="88"/>
      <c r="H83" s="87"/>
    </row>
    <row r="84" spans="2:8" x14ac:dyDescent="0.2">
      <c r="B84" s="113"/>
      <c r="C84" s="115"/>
      <c r="D84" s="114"/>
      <c r="E84" s="113"/>
      <c r="F84" s="113"/>
      <c r="G84" s="88"/>
      <c r="H84" s="87"/>
    </row>
    <row r="85" spans="2:8" x14ac:dyDescent="0.2">
      <c r="B85" s="113"/>
      <c r="C85" s="115"/>
      <c r="D85" s="114"/>
      <c r="E85" s="113"/>
      <c r="F85" s="113"/>
      <c r="G85" s="88"/>
      <c r="H85" s="87"/>
    </row>
    <row r="86" spans="2:8" x14ac:dyDescent="0.2">
      <c r="B86" s="113"/>
      <c r="C86" s="115"/>
      <c r="D86" s="114"/>
      <c r="E86" s="113"/>
      <c r="F86" s="113"/>
      <c r="G86" s="88"/>
      <c r="H86" s="87"/>
    </row>
    <row r="87" spans="2:8" x14ac:dyDescent="0.2">
      <c r="B87" s="113"/>
      <c r="C87" s="115"/>
      <c r="D87" s="114"/>
      <c r="E87" s="113"/>
      <c r="F87" s="113"/>
      <c r="G87" s="88"/>
      <c r="H87" s="87"/>
    </row>
    <row r="88" spans="2:8" x14ac:dyDescent="0.2">
      <c r="B88" s="113"/>
      <c r="C88" s="115"/>
      <c r="D88" s="114"/>
      <c r="E88" s="113"/>
      <c r="F88" s="113"/>
      <c r="G88" s="88"/>
      <c r="H88" s="87"/>
    </row>
    <row r="89" spans="2:8" x14ac:dyDescent="0.2">
      <c r="B89" s="113"/>
      <c r="C89" s="115"/>
      <c r="D89" s="114"/>
      <c r="E89" s="113"/>
      <c r="F89" s="113"/>
      <c r="G89" s="88"/>
      <c r="H89" s="87"/>
    </row>
    <row r="90" spans="2:8" x14ac:dyDescent="0.2">
      <c r="B90" s="113"/>
      <c r="C90" s="115"/>
      <c r="D90" s="114"/>
      <c r="E90" s="113"/>
      <c r="F90" s="113"/>
      <c r="G90" s="88"/>
      <c r="H90" s="87"/>
    </row>
    <row r="91" spans="2:8" x14ac:dyDescent="0.2">
      <c r="B91" s="113"/>
      <c r="C91" s="115"/>
      <c r="D91" s="114"/>
      <c r="E91" s="113"/>
      <c r="F91" s="113"/>
      <c r="G91" s="88"/>
      <c r="H91" s="87"/>
    </row>
    <row r="92" spans="2:8" x14ac:dyDescent="0.2">
      <c r="B92" s="95"/>
      <c r="C92" s="95"/>
      <c r="D92" s="95"/>
      <c r="E92" s="95"/>
      <c r="F92" s="95"/>
      <c r="G92" s="88"/>
      <c r="H92" s="87"/>
    </row>
    <row r="93" spans="2:8" x14ac:dyDescent="0.2">
      <c r="B93" s="95"/>
      <c r="C93" s="95"/>
      <c r="D93" s="95"/>
      <c r="E93" s="95"/>
      <c r="F93" s="95"/>
      <c r="G93" s="88"/>
      <c r="H93" s="87"/>
    </row>
    <row r="94" spans="2:8" x14ac:dyDescent="0.2">
      <c r="G94" s="88"/>
      <c r="H94" s="87"/>
    </row>
    <row r="95" spans="2:8" x14ac:dyDescent="0.2">
      <c r="G95" s="88"/>
      <c r="H95" s="87"/>
    </row>
    <row r="96" spans="2:8" x14ac:dyDescent="0.2">
      <c r="G96" s="88"/>
      <c r="H96" s="87"/>
    </row>
    <row r="97" spans="7:8" x14ac:dyDescent="0.2">
      <c r="G97" s="88"/>
      <c r="H97" s="87"/>
    </row>
    <row r="98" spans="7:8" x14ac:dyDescent="0.2">
      <c r="G98" s="88"/>
      <c r="H98" s="87"/>
    </row>
    <row r="99" spans="7:8" x14ac:dyDescent="0.2">
      <c r="G99" s="88"/>
      <c r="H99" s="87"/>
    </row>
    <row r="100" spans="7:8" x14ac:dyDescent="0.2">
      <c r="G100" s="88"/>
      <c r="H100" s="87"/>
    </row>
    <row r="101" spans="7:8" x14ac:dyDescent="0.2">
      <c r="G101" s="88"/>
      <c r="H101" s="87"/>
    </row>
    <row r="102" spans="7:8" x14ac:dyDescent="0.2">
      <c r="G102" s="88"/>
      <c r="H102" s="87"/>
    </row>
    <row r="103" spans="7:8" x14ac:dyDescent="0.2">
      <c r="G103" s="88"/>
      <c r="H103" s="87"/>
    </row>
    <row r="104" spans="7:8" x14ac:dyDescent="0.2">
      <c r="G104" s="88"/>
      <c r="H104" s="87"/>
    </row>
    <row r="105" spans="7:8" x14ac:dyDescent="0.2">
      <c r="G105" s="88"/>
      <c r="H105" s="87"/>
    </row>
    <row r="106" spans="7:8" x14ac:dyDescent="0.2">
      <c r="G106" s="88"/>
      <c r="H106" s="87"/>
    </row>
    <row r="107" spans="7:8" x14ac:dyDescent="0.2">
      <c r="G107" s="88"/>
      <c r="H107" s="87"/>
    </row>
    <row r="108" spans="7:8" x14ac:dyDescent="0.2">
      <c r="G108" s="88"/>
      <c r="H108" s="87"/>
    </row>
  </sheetData>
  <mergeCells count="6">
    <mergeCell ref="G26:G28"/>
    <mergeCell ref="G8:G10"/>
    <mergeCell ref="H12:H13"/>
    <mergeCell ref="G14:G16"/>
    <mergeCell ref="G17:G19"/>
    <mergeCell ref="G21:G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9A94-7E97-45AB-B8F5-CC9B0A29B7C8}">
  <dimension ref="A1:AC56"/>
  <sheetViews>
    <sheetView topLeftCell="A3" workbookViewId="0">
      <selection activeCell="F10" sqref="F10"/>
    </sheetView>
  </sheetViews>
  <sheetFormatPr baseColWidth="10" defaultColWidth="8.83203125" defaultRowHeight="15" x14ac:dyDescent="0.2"/>
  <cols>
    <col min="1" max="1" width="4" style="1" bestFit="1" customWidth="1"/>
    <col min="2" max="2" width="26.5" style="1" bestFit="1" customWidth="1"/>
    <col min="3" max="3" width="12.33203125" style="1" bestFit="1" customWidth="1"/>
    <col min="4" max="4" width="5.6640625" style="1" bestFit="1" customWidth="1"/>
    <col min="5" max="5" width="10.1640625" style="1" bestFit="1" customWidth="1"/>
    <col min="6" max="6" width="10.5" style="1" bestFit="1" customWidth="1"/>
    <col min="7" max="7" width="12.33203125" style="1" bestFit="1" customWidth="1"/>
    <col min="8" max="8" width="8.33203125" style="1" bestFit="1" customWidth="1"/>
    <col min="9" max="9" width="9.1640625" style="1" bestFit="1" customWidth="1"/>
    <col min="10" max="10" width="10.5" style="1" bestFit="1" customWidth="1"/>
    <col min="11" max="11" width="26.5" style="1" bestFit="1" customWidth="1"/>
    <col min="12" max="12" width="12.33203125" style="1" bestFit="1" customWidth="1"/>
    <col min="13" max="14" width="7.5" style="1" bestFit="1" customWidth="1"/>
    <col min="15" max="15" width="11.1640625" style="1" customWidth="1"/>
    <col min="16" max="16" width="12.33203125" style="1" bestFit="1" customWidth="1"/>
    <col min="17" max="17" width="10.5" style="1" bestFit="1" customWidth="1"/>
    <col min="18" max="18" width="10.1640625" style="1" bestFit="1" customWidth="1"/>
    <col min="19" max="19" width="10.5" style="1" bestFit="1" customWidth="1"/>
    <col min="20" max="20" width="8.83203125" style="1"/>
    <col min="21" max="21" width="26.5" style="1" bestFit="1" customWidth="1"/>
    <col min="22" max="22" width="12.33203125" style="1" customWidth="1"/>
    <col min="23" max="24" width="7.5" style="1" bestFit="1" customWidth="1"/>
    <col min="25" max="25" width="8.83203125" style="1" bestFit="1" customWidth="1"/>
    <col min="26" max="26" width="12.5" style="1" customWidth="1"/>
    <col min="27" max="27" width="9.1640625" style="1" bestFit="1" customWidth="1"/>
    <col min="28" max="28" width="7.5" style="1" bestFit="1" customWidth="1"/>
    <col min="29" max="29" width="7.83203125" style="1" bestFit="1" customWidth="1"/>
    <col min="30" max="16384" width="8.83203125" style="1"/>
  </cols>
  <sheetData>
    <row r="1" spans="1:27" x14ac:dyDescent="0.2">
      <c r="D1" s="1">
        <f>68/0.8</f>
        <v>85</v>
      </c>
    </row>
    <row r="2" spans="1:27" x14ac:dyDescent="0.2">
      <c r="B2" s="2" t="s">
        <v>0</v>
      </c>
    </row>
    <row r="4" spans="1:27" ht="25.75" customHeight="1" x14ac:dyDescent="0.2">
      <c r="B4" s="2" t="s">
        <v>1</v>
      </c>
      <c r="C4" s="149" t="s">
        <v>22</v>
      </c>
      <c r="D4" s="149"/>
      <c r="E4" s="149"/>
      <c r="F4" s="149"/>
      <c r="G4" s="149"/>
      <c r="H4" s="149"/>
      <c r="I4" s="149"/>
      <c r="K4" s="149" t="s">
        <v>23</v>
      </c>
      <c r="L4" s="149"/>
      <c r="M4" s="149"/>
      <c r="N4" s="149"/>
      <c r="O4" s="149"/>
      <c r="P4" s="149"/>
      <c r="Q4" s="149"/>
      <c r="U4" s="149" t="s">
        <v>57</v>
      </c>
      <c r="V4" s="149"/>
      <c r="W4" s="149"/>
      <c r="X4" s="149"/>
      <c r="Y4" s="149"/>
      <c r="Z4" s="149"/>
      <c r="AA4" s="149"/>
    </row>
    <row r="5" spans="1:27" ht="32" x14ac:dyDescent="0.2">
      <c r="B5" s="3" t="s">
        <v>2</v>
      </c>
      <c r="C5" s="3" t="s">
        <v>11</v>
      </c>
      <c r="D5" s="25" t="s">
        <v>12</v>
      </c>
      <c r="E5" s="25" t="s">
        <v>4</v>
      </c>
      <c r="F5" s="25" t="s">
        <v>18</v>
      </c>
      <c r="G5" s="50" t="s">
        <v>3</v>
      </c>
      <c r="H5" s="50" t="s">
        <v>19</v>
      </c>
      <c r="I5" s="25" t="s">
        <v>5</v>
      </c>
      <c r="K5" s="25" t="s">
        <v>11</v>
      </c>
      <c r="L5" s="25" t="s">
        <v>12</v>
      </c>
      <c r="M5" s="25" t="s">
        <v>4</v>
      </c>
      <c r="N5" s="25" t="s">
        <v>18</v>
      </c>
      <c r="O5" s="50" t="s">
        <v>3</v>
      </c>
      <c r="P5" s="50" t="s">
        <v>19</v>
      </c>
      <c r="Q5" s="25" t="s">
        <v>5</v>
      </c>
      <c r="U5" s="25" t="s">
        <v>11</v>
      </c>
      <c r="V5" s="25" t="s">
        <v>12</v>
      </c>
      <c r="W5" s="25" t="s">
        <v>4</v>
      </c>
      <c r="X5" s="25" t="s">
        <v>18</v>
      </c>
      <c r="Y5" s="50" t="s">
        <v>3</v>
      </c>
      <c r="Z5" s="50" t="s">
        <v>19</v>
      </c>
      <c r="AA5" s="3" t="s">
        <v>5</v>
      </c>
    </row>
    <row r="6" spans="1:27" x14ac:dyDescent="0.2">
      <c r="B6" s="4"/>
      <c r="C6" s="4"/>
      <c r="D6" s="4"/>
      <c r="E6" s="4"/>
      <c r="F6" s="4"/>
      <c r="G6" s="4"/>
      <c r="H6" s="4"/>
      <c r="I6" s="4"/>
      <c r="J6" s="8" t="s">
        <v>40</v>
      </c>
      <c r="K6" s="5"/>
      <c r="L6" s="5"/>
      <c r="M6" s="4"/>
      <c r="N6" s="4"/>
      <c r="O6" s="4"/>
      <c r="P6" s="4"/>
      <c r="Q6" s="4"/>
      <c r="U6" s="5"/>
      <c r="V6" s="5"/>
      <c r="W6" s="4"/>
      <c r="X6" s="4"/>
      <c r="Y6" s="4"/>
      <c r="Z6" s="4"/>
      <c r="AA6" s="4"/>
    </row>
    <row r="7" spans="1:27" x14ac:dyDescent="0.2">
      <c r="A7" s="1">
        <v>850</v>
      </c>
      <c r="B7" s="3" t="s">
        <v>16</v>
      </c>
      <c r="C7" s="5">
        <v>68</v>
      </c>
      <c r="D7" s="5" t="s">
        <v>13</v>
      </c>
      <c r="E7" s="55">
        <v>24400</v>
      </c>
      <c r="F7" s="55">
        <f>E7*C7/100</f>
        <v>16592</v>
      </c>
      <c r="G7" s="9">
        <v>0.8</v>
      </c>
      <c r="H7" s="59">
        <f>F7/G7</f>
        <v>20740</v>
      </c>
      <c r="I7" s="59">
        <f>H7</f>
        <v>20740</v>
      </c>
      <c r="J7" s="8">
        <f>0.68*0.79</f>
        <v>0.53720000000000001</v>
      </c>
      <c r="K7" s="5">
        <v>38</v>
      </c>
      <c r="L7" s="5" t="s">
        <v>13</v>
      </c>
      <c r="M7" s="55">
        <f>E7+3000</f>
        <v>27400</v>
      </c>
      <c r="N7" s="55">
        <f>M7*K7/100</f>
        <v>10412</v>
      </c>
      <c r="O7" s="9">
        <v>0.79</v>
      </c>
      <c r="P7" s="53">
        <f>N7/O7</f>
        <v>13179.746835443037</v>
      </c>
      <c r="Q7" s="53">
        <f>P7</f>
        <v>13179.746835443037</v>
      </c>
      <c r="U7" s="5">
        <v>5</v>
      </c>
      <c r="V7" s="5" t="s">
        <v>13</v>
      </c>
      <c r="W7" s="55">
        <v>27.4</v>
      </c>
      <c r="X7" s="55">
        <f>W7*U7/100</f>
        <v>1.37</v>
      </c>
      <c r="Y7" s="9">
        <v>0.79</v>
      </c>
      <c r="Z7" s="53">
        <f>X7/Y7</f>
        <v>1.7341772151898736</v>
      </c>
      <c r="AA7" s="53">
        <f>Z7</f>
        <v>1.7341772151898736</v>
      </c>
    </row>
    <row r="8" spans="1:27" x14ac:dyDescent="0.2">
      <c r="A8" s="1">
        <v>128</v>
      </c>
      <c r="B8" s="3" t="s">
        <v>6</v>
      </c>
      <c r="C8" s="5">
        <v>0</v>
      </c>
      <c r="D8" s="9" t="s">
        <v>13</v>
      </c>
      <c r="E8" s="55">
        <v>38000</v>
      </c>
      <c r="F8" s="55">
        <f t="shared" ref="F8:F11" si="0">E8*C8/100</f>
        <v>0</v>
      </c>
      <c r="G8" s="9">
        <v>0.94</v>
      </c>
      <c r="H8" s="59">
        <f t="shared" ref="H8:H11" si="1">F8/G8</f>
        <v>0</v>
      </c>
      <c r="I8" s="59">
        <f>H8</f>
        <v>0</v>
      </c>
      <c r="J8" s="8">
        <f>0.12*0.955</f>
        <v>0.11459999999999999</v>
      </c>
      <c r="K8" s="5">
        <v>0</v>
      </c>
      <c r="L8" s="9" t="s">
        <v>13</v>
      </c>
      <c r="M8" s="55">
        <f>E8+3000</f>
        <v>41000</v>
      </c>
      <c r="N8" s="55">
        <f t="shared" ref="N8:N9" si="2">M8*K8/100</f>
        <v>0</v>
      </c>
      <c r="O8" s="9">
        <v>0.94</v>
      </c>
      <c r="P8" s="53">
        <f t="shared" ref="P8:P11" si="3">N8/O8</f>
        <v>0</v>
      </c>
      <c r="Q8" s="53">
        <f>P8</f>
        <v>0</v>
      </c>
      <c r="U8" s="5">
        <v>15</v>
      </c>
      <c r="V8" s="9" t="s">
        <v>13</v>
      </c>
      <c r="W8" s="55">
        <v>39000</v>
      </c>
      <c r="X8" s="55">
        <f t="shared" ref="X8:X9" si="4">W8*U8/100</f>
        <v>5850</v>
      </c>
      <c r="Y8" s="9">
        <v>0.94</v>
      </c>
      <c r="Z8" s="53">
        <f t="shared" ref="Z8:Z11" si="5">X8/Y8</f>
        <v>6223.4042553191493</v>
      </c>
      <c r="AA8" s="53">
        <f>Z8</f>
        <v>6223.4042553191493</v>
      </c>
    </row>
    <row r="9" spans="1:27" x14ac:dyDescent="0.2">
      <c r="A9" s="1">
        <v>104</v>
      </c>
      <c r="B9" s="3" t="s">
        <v>7</v>
      </c>
      <c r="C9" s="5">
        <v>10</v>
      </c>
      <c r="D9" s="9" t="s">
        <v>13</v>
      </c>
      <c r="E9" s="55">
        <v>37250</v>
      </c>
      <c r="F9" s="55">
        <f t="shared" si="0"/>
        <v>3725</v>
      </c>
      <c r="G9" s="9">
        <v>0.96</v>
      </c>
      <c r="H9" s="59">
        <f t="shared" si="1"/>
        <v>3880.2083333333335</v>
      </c>
      <c r="I9" s="59">
        <f t="shared" ref="I9:I11" si="6">H9</f>
        <v>3880.2083333333335</v>
      </c>
      <c r="J9" s="8">
        <f>0.1*0.96</f>
        <v>9.6000000000000002E-2</v>
      </c>
      <c r="K9" s="5">
        <v>50</v>
      </c>
      <c r="L9" s="9" t="s">
        <v>13</v>
      </c>
      <c r="M9" s="55">
        <v>37250</v>
      </c>
      <c r="N9" s="55">
        <f t="shared" si="2"/>
        <v>18625</v>
      </c>
      <c r="O9" s="9">
        <v>0.96</v>
      </c>
      <c r="P9" s="53">
        <f t="shared" si="3"/>
        <v>19401.041666666668</v>
      </c>
      <c r="Q9" s="53">
        <f>P9</f>
        <v>19401.041666666668</v>
      </c>
      <c r="U9" s="5">
        <v>80</v>
      </c>
      <c r="V9" s="9" t="s">
        <v>13</v>
      </c>
      <c r="W9" s="55">
        <v>37250</v>
      </c>
      <c r="X9" s="55">
        <f t="shared" si="4"/>
        <v>29800</v>
      </c>
      <c r="Y9" s="9">
        <v>0.96</v>
      </c>
      <c r="Z9" s="53">
        <f t="shared" si="5"/>
        <v>31041.666666666668</v>
      </c>
      <c r="AA9" s="53">
        <f>Z9</f>
        <v>31041.666666666668</v>
      </c>
    </row>
    <row r="10" spans="1:27" x14ac:dyDescent="0.2">
      <c r="B10" s="3" t="s">
        <v>8</v>
      </c>
      <c r="C10" s="5">
        <v>12</v>
      </c>
      <c r="D10" s="5" t="s">
        <v>14</v>
      </c>
      <c r="E10" s="55">
        <v>71.8</v>
      </c>
      <c r="F10" s="55">
        <f>E10*C10</f>
        <v>861.59999999999991</v>
      </c>
      <c r="G10" s="9">
        <v>1</v>
      </c>
      <c r="H10" s="59">
        <f t="shared" si="1"/>
        <v>861.59999999999991</v>
      </c>
      <c r="I10" s="59">
        <f t="shared" si="6"/>
        <v>861.59999999999991</v>
      </c>
      <c r="J10" s="8">
        <v>1.4E-2</v>
      </c>
      <c r="K10" s="5">
        <v>12</v>
      </c>
      <c r="L10" s="5" t="s">
        <v>14</v>
      </c>
      <c r="M10" s="55">
        <v>72</v>
      </c>
      <c r="N10" s="55">
        <f>M10*K10</f>
        <v>864</v>
      </c>
      <c r="O10" s="9">
        <v>1</v>
      </c>
      <c r="P10" s="53">
        <f t="shared" si="3"/>
        <v>864</v>
      </c>
      <c r="Q10" s="53">
        <f>P10</f>
        <v>864</v>
      </c>
      <c r="U10" s="5">
        <v>12</v>
      </c>
      <c r="V10" s="5" t="s">
        <v>14</v>
      </c>
      <c r="W10" s="55">
        <v>72</v>
      </c>
      <c r="X10" s="55">
        <f>W10*U10</f>
        <v>864</v>
      </c>
      <c r="Y10" s="9">
        <v>1</v>
      </c>
      <c r="Z10" s="53">
        <f t="shared" si="5"/>
        <v>864</v>
      </c>
      <c r="AA10" s="53">
        <f>Z10</f>
        <v>864</v>
      </c>
    </row>
    <row r="11" spans="1:27" x14ac:dyDescent="0.2">
      <c r="A11" s="1">
        <v>119</v>
      </c>
      <c r="B11" s="3" t="s">
        <v>15</v>
      </c>
      <c r="C11" s="5">
        <v>22</v>
      </c>
      <c r="D11" s="9" t="s">
        <v>13</v>
      </c>
      <c r="E11" s="55">
        <v>25400</v>
      </c>
      <c r="F11" s="55">
        <f t="shared" si="0"/>
        <v>5588</v>
      </c>
      <c r="G11" s="9">
        <v>0.84</v>
      </c>
      <c r="H11" s="59">
        <f t="shared" si="1"/>
        <v>6652.3809523809523</v>
      </c>
      <c r="I11" s="59">
        <f t="shared" si="6"/>
        <v>6652.3809523809523</v>
      </c>
      <c r="J11" s="8">
        <f>0.1*0.83</f>
        <v>8.3000000000000004E-2</v>
      </c>
      <c r="K11" s="5">
        <v>12</v>
      </c>
      <c r="L11" s="9" t="s">
        <v>13</v>
      </c>
      <c r="M11" s="55">
        <f>E11+3000</f>
        <v>28400</v>
      </c>
      <c r="N11" s="55">
        <f t="shared" ref="N11" si="7">M11*K11/100</f>
        <v>3408</v>
      </c>
      <c r="O11" s="9">
        <v>0.83</v>
      </c>
      <c r="P11" s="53">
        <f t="shared" si="3"/>
        <v>4106.0240963855422</v>
      </c>
      <c r="Q11" s="53">
        <f>P11</f>
        <v>4106.0240963855422</v>
      </c>
      <c r="U11" s="5">
        <v>0</v>
      </c>
      <c r="V11" s="9" t="s">
        <v>13</v>
      </c>
      <c r="W11" s="55">
        <v>28400</v>
      </c>
      <c r="X11" s="55">
        <f t="shared" ref="X11" si="8">W11*U11/100</f>
        <v>0</v>
      </c>
      <c r="Y11" s="9">
        <v>0.83</v>
      </c>
      <c r="Z11" s="53">
        <f t="shared" si="5"/>
        <v>0</v>
      </c>
      <c r="AA11" s="53">
        <f>Z11</f>
        <v>0</v>
      </c>
    </row>
    <row r="12" spans="1:27" x14ac:dyDescent="0.2">
      <c r="B12" s="3" t="s">
        <v>45</v>
      </c>
      <c r="C12" s="5">
        <v>700</v>
      </c>
      <c r="D12" s="5"/>
      <c r="E12" s="54">
        <v>6.8</v>
      </c>
      <c r="F12" s="55">
        <f>E12*C12</f>
        <v>4760</v>
      </c>
      <c r="G12" s="5"/>
      <c r="H12" s="59"/>
      <c r="I12" s="59">
        <f>E12*C12</f>
        <v>4760</v>
      </c>
      <c r="K12" s="5">
        <v>650</v>
      </c>
      <c r="L12" s="5"/>
      <c r="M12" s="54">
        <v>6.5</v>
      </c>
      <c r="N12" s="55">
        <f>M12*K12</f>
        <v>4225</v>
      </c>
      <c r="O12" s="5"/>
      <c r="P12" s="55"/>
      <c r="Q12" s="53">
        <f>M12*K12</f>
        <v>4225</v>
      </c>
      <c r="U12" s="5">
        <v>650</v>
      </c>
      <c r="V12" s="5"/>
      <c r="W12" s="54">
        <v>6.5</v>
      </c>
      <c r="X12" s="55">
        <f>W12*U12</f>
        <v>4225</v>
      </c>
      <c r="Y12" s="5"/>
      <c r="Z12" s="55"/>
      <c r="AA12" s="53">
        <f>W12*U12</f>
        <v>4225</v>
      </c>
    </row>
    <row r="13" spans="1:27" x14ac:dyDescent="0.2">
      <c r="B13" s="3" t="s">
        <v>28</v>
      </c>
      <c r="C13" s="5">
        <v>1</v>
      </c>
      <c r="D13" s="5" t="s">
        <v>29</v>
      </c>
      <c r="E13" s="55">
        <v>500</v>
      </c>
      <c r="F13" s="55">
        <f>E13*C13</f>
        <v>500</v>
      </c>
      <c r="G13" s="5"/>
      <c r="H13" s="59"/>
      <c r="I13" s="59">
        <v>550</v>
      </c>
      <c r="K13" s="5">
        <v>1</v>
      </c>
      <c r="L13" s="5" t="s">
        <v>17</v>
      </c>
      <c r="M13" s="55">
        <v>500</v>
      </c>
      <c r="N13" s="55">
        <f>M13*K13</f>
        <v>500</v>
      </c>
      <c r="O13" s="5"/>
      <c r="P13" s="55"/>
      <c r="Q13" s="53">
        <f>M13*K13</f>
        <v>500</v>
      </c>
      <c r="U13" s="5">
        <v>1</v>
      </c>
      <c r="V13" s="5" t="s">
        <v>17</v>
      </c>
      <c r="W13" s="55">
        <v>500</v>
      </c>
      <c r="X13" s="55">
        <f>W13*U13</f>
        <v>500</v>
      </c>
      <c r="Y13" s="5"/>
      <c r="Z13" s="55"/>
      <c r="AA13" s="53">
        <f>W13*U13</f>
        <v>500</v>
      </c>
    </row>
    <row r="14" spans="1:27" x14ac:dyDescent="0.2">
      <c r="B14" s="3" t="s">
        <v>10</v>
      </c>
      <c r="C14" s="5">
        <v>1</v>
      </c>
      <c r="D14" s="5" t="s">
        <v>29</v>
      </c>
      <c r="E14" s="55">
        <v>550</v>
      </c>
      <c r="F14" s="55">
        <f>E14</f>
        <v>550</v>
      </c>
      <c r="G14" s="5"/>
      <c r="H14" s="59"/>
      <c r="I14" s="59">
        <v>500</v>
      </c>
      <c r="K14" s="5">
        <v>1</v>
      </c>
      <c r="L14" s="5" t="s">
        <v>17</v>
      </c>
      <c r="M14" s="55">
        <v>550</v>
      </c>
      <c r="N14" s="55">
        <f>M14</f>
        <v>550</v>
      </c>
      <c r="O14" s="5"/>
      <c r="P14" s="55"/>
      <c r="Q14" s="53">
        <f>M14*K14</f>
        <v>550</v>
      </c>
      <c r="U14" s="5">
        <v>1</v>
      </c>
      <c r="V14" s="5" t="s">
        <v>17</v>
      </c>
      <c r="W14" s="55">
        <v>550</v>
      </c>
      <c r="X14" s="55">
        <f>W14</f>
        <v>550</v>
      </c>
      <c r="Y14" s="5"/>
      <c r="Z14" s="55"/>
      <c r="AA14" s="53">
        <f>W14*U14</f>
        <v>550</v>
      </c>
    </row>
    <row r="15" spans="1:27" x14ac:dyDescent="0.2">
      <c r="B15" s="10" t="s">
        <v>24</v>
      </c>
      <c r="C15" s="11"/>
      <c r="D15" s="11"/>
      <c r="E15" s="11"/>
      <c r="F15" s="11"/>
      <c r="G15" s="11"/>
      <c r="H15" s="45"/>
      <c r="I15" s="60">
        <f>SUM(I7:I14)</f>
        <v>37944.189285714281</v>
      </c>
      <c r="K15" s="10" t="s">
        <v>24</v>
      </c>
      <c r="L15" s="11"/>
      <c r="M15" s="11"/>
      <c r="N15" s="11"/>
      <c r="O15" s="11"/>
      <c r="P15" s="74"/>
      <c r="Q15" s="75">
        <f>SUM(Q7:Q14)</f>
        <v>42825.812598495242</v>
      </c>
      <c r="U15" s="10" t="s">
        <v>24</v>
      </c>
      <c r="V15" s="11"/>
      <c r="W15" s="11"/>
      <c r="X15" s="11"/>
      <c r="Y15" s="11"/>
      <c r="Z15" s="74"/>
      <c r="AA15" s="75">
        <f>SUM(AA7:AA14)</f>
        <v>43405.80509920101</v>
      </c>
    </row>
    <row r="16" spans="1:27" x14ac:dyDescent="0.2">
      <c r="B16" s="13" t="s">
        <v>20</v>
      </c>
      <c r="C16" s="14"/>
      <c r="D16" s="14"/>
      <c r="E16" s="14"/>
      <c r="F16" s="14"/>
      <c r="G16" s="14"/>
      <c r="H16" s="46"/>
      <c r="I16" s="61">
        <v>44300</v>
      </c>
      <c r="K16" s="13" t="s">
        <v>20</v>
      </c>
      <c r="L16" s="14"/>
      <c r="M16" s="14"/>
      <c r="N16" s="14"/>
      <c r="O16" s="14"/>
      <c r="P16" s="14"/>
      <c r="Q16" s="76">
        <v>46900</v>
      </c>
      <c r="U16" s="13" t="s">
        <v>20</v>
      </c>
      <c r="V16" s="14"/>
      <c r="W16" s="14"/>
      <c r="X16" s="14"/>
      <c r="Y16" s="14"/>
      <c r="Z16" s="14"/>
      <c r="AA16" s="76">
        <v>46900</v>
      </c>
    </row>
    <row r="17" spans="1:27" x14ac:dyDescent="0.2">
      <c r="B17" s="16" t="s">
        <v>48</v>
      </c>
      <c r="C17" s="17"/>
      <c r="D17" s="17"/>
      <c r="E17" s="17"/>
      <c r="F17" s="17"/>
      <c r="G17" s="17"/>
      <c r="H17" s="47"/>
      <c r="I17" s="62">
        <f>I16-I15</f>
        <v>6355.8107142857189</v>
      </c>
      <c r="K17" s="16" t="s">
        <v>48</v>
      </c>
      <c r="L17" s="17"/>
      <c r="M17" s="17"/>
      <c r="N17" s="17"/>
      <c r="O17" s="17"/>
      <c r="P17" s="17"/>
      <c r="Q17" s="77">
        <f>Q16-Q15</f>
        <v>4074.1874015047579</v>
      </c>
      <c r="U17" s="16" t="s">
        <v>48</v>
      </c>
      <c r="V17" s="17"/>
      <c r="W17" s="17"/>
      <c r="X17" s="17"/>
      <c r="Y17" s="17"/>
      <c r="Z17" s="17"/>
      <c r="AA17" s="77">
        <f>AA16-AA15</f>
        <v>3494.1949007989897</v>
      </c>
    </row>
    <row r="18" spans="1:27" x14ac:dyDescent="0.2">
      <c r="B18" s="2"/>
      <c r="C18" s="2"/>
      <c r="D18" s="2"/>
      <c r="E18" s="2"/>
      <c r="F18" s="2"/>
      <c r="G18" s="2"/>
      <c r="H18" s="2"/>
      <c r="I18" s="19"/>
      <c r="K18" s="2"/>
      <c r="L18" s="2"/>
      <c r="M18" s="2"/>
      <c r="N18" s="2"/>
      <c r="O18" s="2"/>
      <c r="P18" s="2"/>
      <c r="Q18" s="19"/>
      <c r="U18" s="2"/>
      <c r="V18" s="2"/>
      <c r="W18" s="2"/>
      <c r="X18" s="2"/>
      <c r="Y18" s="2"/>
      <c r="Z18" s="2"/>
      <c r="AA18" s="19"/>
    </row>
    <row r="19" spans="1:27" x14ac:dyDescent="0.2">
      <c r="B19" s="2" t="s">
        <v>0</v>
      </c>
    </row>
    <row r="21" spans="1:27" x14ac:dyDescent="0.2">
      <c r="B21" s="3" t="s">
        <v>1</v>
      </c>
      <c r="C21" s="149" t="s">
        <v>22</v>
      </c>
      <c r="D21" s="149"/>
      <c r="E21" s="149"/>
      <c r="F21" s="149"/>
      <c r="G21" s="20"/>
      <c r="I21" s="2"/>
      <c r="J21" s="2"/>
      <c r="K21" s="3"/>
      <c r="L21" s="149" t="s">
        <v>23</v>
      </c>
      <c r="M21" s="149"/>
      <c r="N21" s="149"/>
      <c r="O21" s="149"/>
      <c r="U21" s="3"/>
      <c r="V21" s="149" t="s">
        <v>23</v>
      </c>
      <c r="W21" s="149"/>
      <c r="X21" s="149"/>
      <c r="Y21" s="149"/>
    </row>
    <row r="22" spans="1:27" ht="42" customHeight="1" x14ac:dyDescent="0.2">
      <c r="B22" s="3" t="s">
        <v>2</v>
      </c>
      <c r="C22" s="3" t="s">
        <v>11</v>
      </c>
      <c r="D22" s="25" t="s">
        <v>12</v>
      </c>
      <c r="E22" s="50" t="s">
        <v>53</v>
      </c>
      <c r="F22" s="35" t="s">
        <v>18</v>
      </c>
      <c r="K22" s="3" t="s">
        <v>2</v>
      </c>
      <c r="L22" s="25" t="s">
        <v>11</v>
      </c>
      <c r="M22" s="25" t="s">
        <v>12</v>
      </c>
      <c r="N22" s="25" t="s">
        <v>4</v>
      </c>
      <c r="O22" s="35" t="s">
        <v>18</v>
      </c>
      <c r="U22" s="3" t="s">
        <v>2</v>
      </c>
      <c r="V22" s="3" t="s">
        <v>11</v>
      </c>
      <c r="W22" s="25" t="s">
        <v>12</v>
      </c>
      <c r="X22" s="25" t="s">
        <v>4</v>
      </c>
      <c r="Y22" s="35" t="s">
        <v>18</v>
      </c>
    </row>
    <row r="23" spans="1:27" x14ac:dyDescent="0.2">
      <c r="B23" s="4"/>
      <c r="C23" s="4"/>
      <c r="D23" s="4"/>
      <c r="E23" s="5"/>
      <c r="F23" s="4"/>
      <c r="G23" s="51" t="s">
        <v>40</v>
      </c>
      <c r="K23" s="4"/>
      <c r="L23" s="5"/>
      <c r="M23" s="5"/>
      <c r="N23" s="5"/>
      <c r="O23" s="5"/>
      <c r="U23" s="4"/>
      <c r="V23" s="4"/>
      <c r="W23" s="5"/>
      <c r="X23" s="5"/>
      <c r="Y23" s="43"/>
    </row>
    <row r="24" spans="1:27" x14ac:dyDescent="0.2">
      <c r="A24" s="1">
        <v>850</v>
      </c>
      <c r="B24" s="3" t="s">
        <v>16</v>
      </c>
      <c r="C24" s="53">
        <v>858.23</v>
      </c>
      <c r="D24" s="5" t="s">
        <v>14</v>
      </c>
      <c r="E24" s="55">
        <v>25.25</v>
      </c>
      <c r="F24" s="55">
        <f>E24*C24</f>
        <v>21670.307499999999</v>
      </c>
      <c r="G24" s="1">
        <f>0.68*0.79</f>
        <v>0.53720000000000001</v>
      </c>
      <c r="H24" s="80">
        <f>C24*0.79</f>
        <v>678.00170000000003</v>
      </c>
      <c r="K24" s="3" t="s">
        <v>16</v>
      </c>
      <c r="L24" s="53">
        <f>K7/O7*10</f>
        <v>481.01265822784808</v>
      </c>
      <c r="M24" s="5" t="s">
        <v>14</v>
      </c>
      <c r="N24" s="53">
        <v>27.4</v>
      </c>
      <c r="O24" s="59">
        <f>N24*L24</f>
        <v>13179.746835443037</v>
      </c>
      <c r="U24" s="3" t="s">
        <v>16</v>
      </c>
      <c r="V24" s="53">
        <f>U7/Y7*10</f>
        <v>63.291139240506325</v>
      </c>
      <c r="W24" s="5" t="s">
        <v>14</v>
      </c>
      <c r="X24" s="53">
        <v>27.4</v>
      </c>
      <c r="Y24" s="59">
        <f>X24*V24</f>
        <v>1734.1772151898733</v>
      </c>
    </row>
    <row r="25" spans="1:27" x14ac:dyDescent="0.2">
      <c r="A25" s="1">
        <v>128</v>
      </c>
      <c r="B25" s="3" t="s">
        <v>6</v>
      </c>
      <c r="C25" s="53">
        <f>C8*10/G8</f>
        <v>0</v>
      </c>
      <c r="D25" s="9" t="s">
        <v>14</v>
      </c>
      <c r="E25" s="55">
        <v>37.85</v>
      </c>
      <c r="F25" s="55">
        <f t="shared" ref="F25:F28" si="9">E25*C25</f>
        <v>0</v>
      </c>
      <c r="G25" s="1">
        <f>0.12*0.955</f>
        <v>0.11459999999999999</v>
      </c>
      <c r="I25" s="22"/>
      <c r="J25" s="22"/>
      <c r="K25" s="3" t="s">
        <v>6</v>
      </c>
      <c r="L25" s="53">
        <v>0</v>
      </c>
      <c r="M25" s="5" t="s">
        <v>14</v>
      </c>
      <c r="N25" s="53">
        <v>39.5</v>
      </c>
      <c r="O25" s="59">
        <f t="shared" ref="O25:O31" si="10">N25*L25</f>
        <v>0</v>
      </c>
      <c r="U25" s="3" t="s">
        <v>6</v>
      </c>
      <c r="V25" s="53">
        <f t="shared" ref="V25:V26" si="11">U8/Y8*10</f>
        <v>159.57446808510639</v>
      </c>
      <c r="W25" s="5" t="s">
        <v>14</v>
      </c>
      <c r="X25" s="53">
        <v>39</v>
      </c>
      <c r="Y25" s="59">
        <f t="shared" ref="Y25:Y31" si="12">X25*V25</f>
        <v>6223.4042553191493</v>
      </c>
    </row>
    <row r="26" spans="1:27" x14ac:dyDescent="0.2">
      <c r="A26" s="1">
        <v>104</v>
      </c>
      <c r="B26" s="3" t="s">
        <v>7</v>
      </c>
      <c r="C26" s="53">
        <v>93.75</v>
      </c>
      <c r="D26" s="9" t="s">
        <v>14</v>
      </c>
      <c r="E26" s="55">
        <v>36.799999999999997</v>
      </c>
      <c r="F26" s="55">
        <f t="shared" si="9"/>
        <v>3449.9999999999995</v>
      </c>
      <c r="G26" s="1">
        <f>0.1*0.96</f>
        <v>9.6000000000000002E-2</v>
      </c>
      <c r="H26" s="80">
        <f>C26*0.96</f>
        <v>90</v>
      </c>
      <c r="I26" s="22"/>
      <c r="J26" s="22"/>
      <c r="K26" s="3" t="s">
        <v>7</v>
      </c>
      <c r="L26" s="53">
        <f>K9/O9*10</f>
        <v>520.83333333333337</v>
      </c>
      <c r="M26" s="5" t="s">
        <v>14</v>
      </c>
      <c r="N26" s="53">
        <v>36.799999999999997</v>
      </c>
      <c r="O26" s="59">
        <f t="shared" si="10"/>
        <v>19166.666666666668</v>
      </c>
      <c r="U26" s="3" t="s">
        <v>7</v>
      </c>
      <c r="V26" s="53">
        <f t="shared" si="11"/>
        <v>833.33333333333348</v>
      </c>
      <c r="W26" s="5" t="s">
        <v>14</v>
      </c>
      <c r="X26" s="53">
        <v>37.25</v>
      </c>
      <c r="Y26" s="59">
        <f t="shared" si="12"/>
        <v>31041.666666666672</v>
      </c>
    </row>
    <row r="27" spans="1:27" x14ac:dyDescent="0.2">
      <c r="B27" s="3" t="s">
        <v>8</v>
      </c>
      <c r="C27" s="53">
        <v>12</v>
      </c>
      <c r="D27" s="5" t="s">
        <v>14</v>
      </c>
      <c r="E27" s="55">
        <v>69.3</v>
      </c>
      <c r="F27" s="55">
        <f>E27*C27</f>
        <v>831.59999999999991</v>
      </c>
      <c r="G27" s="1">
        <v>1.4E-2</v>
      </c>
      <c r="H27" s="1">
        <v>12</v>
      </c>
      <c r="K27" s="3" t="s">
        <v>8</v>
      </c>
      <c r="L27" s="53">
        <v>12</v>
      </c>
      <c r="M27" s="5" t="s">
        <v>14</v>
      </c>
      <c r="N27" s="53">
        <v>72.3</v>
      </c>
      <c r="O27" s="59">
        <f t="shared" si="10"/>
        <v>867.59999999999991</v>
      </c>
      <c r="U27" s="3" t="s">
        <v>8</v>
      </c>
      <c r="V27" s="53">
        <v>12</v>
      </c>
      <c r="W27" s="5" t="s">
        <v>14</v>
      </c>
      <c r="X27" s="53">
        <v>72</v>
      </c>
      <c r="Y27" s="59">
        <f t="shared" si="12"/>
        <v>864</v>
      </c>
    </row>
    <row r="28" spans="1:27" x14ac:dyDescent="0.2">
      <c r="A28" s="1">
        <v>119</v>
      </c>
      <c r="B28" s="3" t="s">
        <v>15</v>
      </c>
      <c r="C28" s="53">
        <v>265.06</v>
      </c>
      <c r="D28" s="9" t="s">
        <v>14</v>
      </c>
      <c r="E28" s="55">
        <v>29.35</v>
      </c>
      <c r="F28" s="55">
        <f t="shared" si="9"/>
        <v>7779.5110000000004</v>
      </c>
      <c r="G28" s="1">
        <f>0.1*0.83</f>
        <v>8.3000000000000004E-2</v>
      </c>
      <c r="H28" s="80">
        <f>C28*0.83</f>
        <v>219.99979999999999</v>
      </c>
      <c r="K28" s="3" t="s">
        <v>15</v>
      </c>
      <c r="L28" s="53">
        <f>K11/O11*10</f>
        <v>144.57831325301206</v>
      </c>
      <c r="M28" s="5" t="s">
        <v>14</v>
      </c>
      <c r="N28" s="53">
        <v>29.5</v>
      </c>
      <c r="O28" s="59">
        <f t="shared" si="10"/>
        <v>4265.0602409638559</v>
      </c>
      <c r="U28" s="3" t="s">
        <v>15</v>
      </c>
      <c r="V28" s="53">
        <v>0</v>
      </c>
      <c r="W28" s="5" t="s">
        <v>14</v>
      </c>
      <c r="X28" s="53">
        <v>28.4</v>
      </c>
      <c r="Y28" s="59">
        <f t="shared" si="12"/>
        <v>0</v>
      </c>
    </row>
    <row r="29" spans="1:27" x14ac:dyDescent="0.2">
      <c r="B29" s="3" t="s">
        <v>9</v>
      </c>
      <c r="C29" s="53">
        <v>750</v>
      </c>
      <c r="D29" s="5" t="s">
        <v>42</v>
      </c>
      <c r="E29" s="54">
        <v>6.5</v>
      </c>
      <c r="F29" s="55">
        <f>E29*C29</f>
        <v>4875</v>
      </c>
      <c r="K29" s="3" t="s">
        <v>9</v>
      </c>
      <c r="L29" s="53">
        <v>700</v>
      </c>
      <c r="M29" s="5" t="s">
        <v>42</v>
      </c>
      <c r="N29" s="53">
        <v>6.5</v>
      </c>
      <c r="O29" s="59">
        <f t="shared" si="10"/>
        <v>4550</v>
      </c>
      <c r="U29" s="3" t="s">
        <v>9</v>
      </c>
      <c r="V29" s="53">
        <v>700</v>
      </c>
      <c r="W29" s="5" t="s">
        <v>42</v>
      </c>
      <c r="X29" s="53">
        <v>6.5</v>
      </c>
      <c r="Y29" s="59">
        <f t="shared" si="12"/>
        <v>4550</v>
      </c>
    </row>
    <row r="30" spans="1:27" x14ac:dyDescent="0.2">
      <c r="B30" s="3" t="s">
        <v>28</v>
      </c>
      <c r="C30" s="53">
        <v>1</v>
      </c>
      <c r="D30" s="5" t="s">
        <v>29</v>
      </c>
      <c r="E30" s="55">
        <v>550</v>
      </c>
      <c r="F30" s="55">
        <f>E30*C30</f>
        <v>550</v>
      </c>
      <c r="K30" s="3" t="s">
        <v>28</v>
      </c>
      <c r="L30" s="53">
        <v>1</v>
      </c>
      <c r="M30" s="5" t="s">
        <v>17</v>
      </c>
      <c r="N30" s="53">
        <v>550</v>
      </c>
      <c r="O30" s="59">
        <f t="shared" si="10"/>
        <v>550</v>
      </c>
      <c r="U30" s="3" t="s">
        <v>28</v>
      </c>
      <c r="V30" s="53">
        <v>1</v>
      </c>
      <c r="W30" s="5" t="s">
        <v>17</v>
      </c>
      <c r="X30" s="53">
        <v>500</v>
      </c>
      <c r="Y30" s="59">
        <f t="shared" si="12"/>
        <v>500</v>
      </c>
    </row>
    <row r="31" spans="1:27" x14ac:dyDescent="0.2">
      <c r="B31" s="3" t="s">
        <v>10</v>
      </c>
      <c r="C31" s="53">
        <v>1</v>
      </c>
      <c r="D31" s="5" t="s">
        <v>29</v>
      </c>
      <c r="E31" s="55">
        <v>500</v>
      </c>
      <c r="F31" s="55">
        <f>E31</f>
        <v>500</v>
      </c>
      <c r="K31" s="3" t="s">
        <v>10</v>
      </c>
      <c r="L31" s="53">
        <v>1</v>
      </c>
      <c r="M31" s="5" t="s">
        <v>17</v>
      </c>
      <c r="N31" s="53">
        <v>500</v>
      </c>
      <c r="O31" s="59">
        <f t="shared" si="10"/>
        <v>500</v>
      </c>
      <c r="U31" s="3" t="s">
        <v>10</v>
      </c>
      <c r="V31" s="53">
        <v>1</v>
      </c>
      <c r="W31" s="5" t="s">
        <v>17</v>
      </c>
      <c r="X31" s="53">
        <v>550</v>
      </c>
      <c r="Y31" s="59">
        <f t="shared" si="12"/>
        <v>550</v>
      </c>
    </row>
    <row r="32" spans="1:27" x14ac:dyDescent="0.2">
      <c r="B32" s="10" t="s">
        <v>52</v>
      </c>
      <c r="C32" s="11"/>
      <c r="D32" s="11"/>
      <c r="E32" s="11"/>
      <c r="F32" s="56">
        <f>SUM(F24:F31)</f>
        <v>39656.4185</v>
      </c>
      <c r="K32" s="10" t="s">
        <v>51</v>
      </c>
      <c r="L32" s="11"/>
      <c r="M32" s="11"/>
      <c r="N32" s="11"/>
      <c r="O32" s="56">
        <f>SUM(O24:O31)</f>
        <v>43079.073743073561</v>
      </c>
      <c r="U32" s="10" t="s">
        <v>24</v>
      </c>
      <c r="V32" s="11"/>
      <c r="W32" s="11"/>
      <c r="X32" s="11"/>
      <c r="Y32" s="56">
        <f>SUM(Y24:Y31)</f>
        <v>45463.248137175695</v>
      </c>
    </row>
    <row r="33" spans="2:29" x14ac:dyDescent="0.2">
      <c r="B33" s="13" t="s">
        <v>20</v>
      </c>
      <c r="C33" s="14"/>
      <c r="D33" s="14"/>
      <c r="E33" s="14"/>
      <c r="F33" s="57">
        <v>39250</v>
      </c>
      <c r="K33" s="13" t="s">
        <v>20</v>
      </c>
      <c r="L33" s="14"/>
      <c r="M33" s="14"/>
      <c r="N33" s="14"/>
      <c r="O33" s="57">
        <v>42300</v>
      </c>
      <c r="U33" s="13" t="s">
        <v>20</v>
      </c>
      <c r="V33" s="14"/>
      <c r="W33" s="14"/>
      <c r="X33" s="14"/>
      <c r="Y33" s="57">
        <v>43800</v>
      </c>
    </row>
    <row r="34" spans="2:29" x14ac:dyDescent="0.2">
      <c r="B34" s="16" t="s">
        <v>48</v>
      </c>
      <c r="C34" s="17"/>
      <c r="D34" s="17"/>
      <c r="E34" s="17"/>
      <c r="F34" s="58">
        <f>F33-F32</f>
        <v>-406.41849999999977</v>
      </c>
      <c r="K34" s="16" t="s">
        <v>48</v>
      </c>
      <c r="L34" s="17"/>
      <c r="M34" s="17"/>
      <c r="N34" s="17"/>
      <c r="O34" s="58">
        <f>O33-O32</f>
        <v>-779.07374307356076</v>
      </c>
      <c r="U34" s="16" t="s">
        <v>48</v>
      </c>
      <c r="V34" s="17"/>
      <c r="W34" s="17"/>
      <c r="X34" s="17"/>
      <c r="Y34" s="58">
        <f>Y33-Y32</f>
        <v>-1663.2481371756949</v>
      </c>
    </row>
    <row r="35" spans="2:29" x14ac:dyDescent="0.2">
      <c r="B35" s="2"/>
      <c r="C35" s="2"/>
      <c r="D35" s="2"/>
      <c r="E35" s="2"/>
      <c r="F35" s="2"/>
      <c r="G35" s="2"/>
      <c r="H35" s="2"/>
      <c r="I35" s="19"/>
      <c r="J35" s="19"/>
      <c r="K35" s="2"/>
      <c r="L35" s="2"/>
      <c r="M35" s="2"/>
      <c r="N35" s="2"/>
      <c r="O35" s="2"/>
      <c r="P35" s="2"/>
      <c r="Q35" s="19"/>
      <c r="U35" s="2"/>
      <c r="V35" s="2"/>
      <c r="W35" s="2"/>
      <c r="X35" s="2"/>
      <c r="Y35" s="2"/>
      <c r="Z35" s="2"/>
      <c r="AA35" s="19"/>
    </row>
    <row r="36" spans="2:29" ht="16" thickBot="1" x14ac:dyDescent="0.25">
      <c r="B36" s="2"/>
      <c r="C36" s="2"/>
      <c r="D36" s="2"/>
      <c r="E36" s="2"/>
      <c r="F36" s="2"/>
      <c r="G36" s="2"/>
      <c r="H36" s="2"/>
      <c r="I36" s="19"/>
      <c r="K36" s="2"/>
      <c r="L36" s="2"/>
      <c r="M36" s="2"/>
      <c r="N36" s="2"/>
      <c r="O36" s="2"/>
      <c r="P36" s="2"/>
      <c r="Q36" s="19"/>
      <c r="U36" s="2"/>
      <c r="V36" s="2"/>
      <c r="W36" s="2"/>
      <c r="X36" s="2"/>
      <c r="Y36" s="2"/>
      <c r="Z36" s="2"/>
      <c r="AA36" s="19"/>
    </row>
    <row r="37" spans="2:29" ht="24" customHeight="1" thickBot="1" x14ac:dyDescent="0.25">
      <c r="B37" s="161" t="s">
        <v>54</v>
      </c>
      <c r="C37" s="162"/>
      <c r="D37" s="162"/>
      <c r="E37" s="162"/>
      <c r="F37" s="162"/>
      <c r="G37" s="162"/>
      <c r="H37" s="162"/>
      <c r="I37" s="162"/>
      <c r="J37" s="163"/>
      <c r="K37" s="161" t="s">
        <v>55</v>
      </c>
      <c r="L37" s="162"/>
      <c r="M37" s="162"/>
      <c r="N37" s="162"/>
      <c r="O37" s="162"/>
      <c r="P37" s="162"/>
      <c r="Q37" s="162"/>
      <c r="R37" s="162"/>
      <c r="S37" s="163"/>
      <c r="U37" s="161" t="s">
        <v>55</v>
      </c>
      <c r="V37" s="162"/>
      <c r="W37" s="162"/>
      <c r="X37" s="162"/>
      <c r="Y37" s="162"/>
      <c r="Z37" s="162"/>
      <c r="AA37" s="162"/>
      <c r="AB37" s="162"/>
      <c r="AC37" s="163"/>
    </row>
    <row r="38" spans="2:29" x14ac:dyDescent="0.2">
      <c r="B38" s="78" t="s">
        <v>25</v>
      </c>
      <c r="C38" s="160" t="s">
        <v>49</v>
      </c>
      <c r="D38" s="160"/>
      <c r="E38" s="160"/>
      <c r="F38" s="160"/>
      <c r="G38" s="160" t="s">
        <v>37</v>
      </c>
      <c r="H38" s="160"/>
      <c r="I38" s="160"/>
      <c r="J38" s="160"/>
      <c r="K38" s="78" t="s">
        <v>25</v>
      </c>
      <c r="L38" s="160" t="s">
        <v>49</v>
      </c>
      <c r="M38" s="160"/>
      <c r="N38" s="160"/>
      <c r="O38" s="160"/>
      <c r="P38" s="160" t="s">
        <v>37</v>
      </c>
      <c r="Q38" s="160"/>
      <c r="R38" s="160"/>
      <c r="S38" s="160"/>
      <c r="U38" s="78" t="s">
        <v>25</v>
      </c>
      <c r="V38" s="160" t="s">
        <v>38</v>
      </c>
      <c r="W38" s="160"/>
      <c r="X38" s="160"/>
      <c r="Y38" s="160"/>
      <c r="Z38" s="160" t="s">
        <v>37</v>
      </c>
      <c r="AA38" s="160"/>
      <c r="AB38" s="160"/>
      <c r="AC38" s="160"/>
    </row>
    <row r="39" spans="2:29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U39" s="5"/>
      <c r="V39" s="5"/>
      <c r="W39" s="5"/>
      <c r="X39" s="5"/>
      <c r="Y39" s="5"/>
      <c r="Z39" s="5"/>
      <c r="AA39" s="5"/>
      <c r="AB39" s="5"/>
      <c r="AC39" s="5"/>
    </row>
    <row r="40" spans="2:29" x14ac:dyDescent="0.2">
      <c r="B40" s="24" t="s">
        <v>2</v>
      </c>
      <c r="C40" s="24" t="s">
        <v>11</v>
      </c>
      <c r="D40" s="24" t="s">
        <v>12</v>
      </c>
      <c r="E40" s="24" t="s">
        <v>4</v>
      </c>
      <c r="F40" s="24" t="s">
        <v>18</v>
      </c>
      <c r="G40" s="24" t="s">
        <v>11</v>
      </c>
      <c r="H40" s="24" t="s">
        <v>12</v>
      </c>
      <c r="I40" s="24" t="s">
        <v>4</v>
      </c>
      <c r="J40" s="24" t="s">
        <v>18</v>
      </c>
      <c r="K40" s="24" t="s">
        <v>2</v>
      </c>
      <c r="L40" s="24" t="s">
        <v>11</v>
      </c>
      <c r="M40" s="24" t="s">
        <v>12</v>
      </c>
      <c r="N40" s="24" t="s">
        <v>4</v>
      </c>
      <c r="O40" s="24" t="s">
        <v>18</v>
      </c>
      <c r="P40" s="24" t="s">
        <v>11</v>
      </c>
      <c r="Q40" s="24" t="s">
        <v>12</v>
      </c>
      <c r="R40" s="24" t="s">
        <v>4</v>
      </c>
      <c r="S40" s="24" t="s">
        <v>18</v>
      </c>
      <c r="U40" s="24" t="s">
        <v>2</v>
      </c>
      <c r="V40" s="24" t="s">
        <v>11</v>
      </c>
      <c r="W40" s="24" t="s">
        <v>12</v>
      </c>
      <c r="X40" s="24" t="s">
        <v>4</v>
      </c>
      <c r="Y40" s="24" t="s">
        <v>18</v>
      </c>
      <c r="Z40" s="24" t="s">
        <v>11</v>
      </c>
      <c r="AA40" s="24" t="s">
        <v>12</v>
      </c>
      <c r="AB40" s="24" t="s">
        <v>4</v>
      </c>
      <c r="AC40" s="24" t="s">
        <v>18</v>
      </c>
    </row>
    <row r="41" spans="2:29" x14ac:dyDescent="0.2">
      <c r="B41" s="36" t="s">
        <v>56</v>
      </c>
      <c r="C41" s="25"/>
      <c r="D41" s="25"/>
      <c r="E41" s="65"/>
      <c r="F41" s="65">
        <f>F32</f>
        <v>39656.4185</v>
      </c>
      <c r="G41" s="25"/>
      <c r="H41" s="25"/>
      <c r="I41" s="25"/>
      <c r="J41" s="65">
        <f>F32</f>
        <v>39656.4185</v>
      </c>
      <c r="K41" s="25"/>
      <c r="L41" s="25"/>
      <c r="M41" s="25"/>
      <c r="N41" s="25"/>
      <c r="O41" s="65">
        <f>O33</f>
        <v>42300</v>
      </c>
      <c r="P41" s="25"/>
      <c r="Q41" s="25"/>
      <c r="R41" s="25"/>
      <c r="S41" s="65">
        <f>O33</f>
        <v>42300</v>
      </c>
      <c r="U41" s="25"/>
      <c r="V41" s="25"/>
      <c r="W41" s="25"/>
      <c r="X41" s="25"/>
      <c r="Y41" s="25"/>
      <c r="Z41" s="25"/>
      <c r="AA41" s="25"/>
      <c r="AB41" s="25"/>
      <c r="AC41" s="25"/>
    </row>
    <row r="42" spans="2:29" x14ac:dyDescent="0.2">
      <c r="B42" s="48" t="s">
        <v>26</v>
      </c>
      <c r="C42" s="63">
        <v>0.8</v>
      </c>
      <c r="D42" s="49" t="s">
        <v>13</v>
      </c>
      <c r="E42" s="66">
        <f>I15</f>
        <v>37944.189285714281</v>
      </c>
      <c r="F42" s="66">
        <f>E42*C42/100</f>
        <v>303.55351428571424</v>
      </c>
      <c r="G42" s="63">
        <v>1.2</v>
      </c>
      <c r="H42" s="49" t="s">
        <v>13</v>
      </c>
      <c r="I42" s="66">
        <f>E42</f>
        <v>37944.189285714281</v>
      </c>
      <c r="J42" s="66">
        <f>I42*G42/100</f>
        <v>455.33027142857134</v>
      </c>
      <c r="K42" s="48" t="s">
        <v>26</v>
      </c>
      <c r="L42" s="63">
        <v>0.8</v>
      </c>
      <c r="M42" s="49" t="s">
        <v>13</v>
      </c>
      <c r="N42" s="66">
        <f>Q15</f>
        <v>42825.812598495242</v>
      </c>
      <c r="O42" s="66">
        <f>N42*L42/100</f>
        <v>342.60650078796192</v>
      </c>
      <c r="P42" s="63">
        <v>1.2</v>
      </c>
      <c r="Q42" s="49" t="s">
        <v>13</v>
      </c>
      <c r="R42" s="66">
        <f>N42</f>
        <v>42825.812598495242</v>
      </c>
      <c r="S42" s="66">
        <f>R42*P42/100</f>
        <v>513.90975118194297</v>
      </c>
      <c r="U42" s="48" t="s">
        <v>26</v>
      </c>
      <c r="V42" s="63">
        <v>1</v>
      </c>
      <c r="W42" s="49" t="s">
        <v>13</v>
      </c>
      <c r="X42" s="66">
        <f>AA15</f>
        <v>43405.80509920101</v>
      </c>
      <c r="Y42" s="66">
        <f>X42*V42/100</f>
        <v>434.05805099201012</v>
      </c>
      <c r="Z42" s="63">
        <v>1.5</v>
      </c>
      <c r="AA42" s="49" t="s">
        <v>13</v>
      </c>
      <c r="AB42" s="66">
        <f>X42</f>
        <v>43405.80509920101</v>
      </c>
      <c r="AC42" s="66">
        <f>AB42*Z42/100</f>
        <v>651.0870764880151</v>
      </c>
    </row>
    <row r="43" spans="2:29" x14ac:dyDescent="0.2">
      <c r="B43" s="36" t="s">
        <v>9</v>
      </c>
      <c r="C43" s="52">
        <v>110</v>
      </c>
      <c r="D43" s="5" t="s">
        <v>27</v>
      </c>
      <c r="E43" s="52">
        <v>6.5</v>
      </c>
      <c r="F43" s="53">
        <f>E43*C43</f>
        <v>715</v>
      </c>
      <c r="G43" s="52">
        <v>110</v>
      </c>
      <c r="H43" s="5" t="s">
        <v>27</v>
      </c>
      <c r="I43" s="52">
        <v>6.5</v>
      </c>
      <c r="J43" s="53">
        <f>I43*G43</f>
        <v>715</v>
      </c>
      <c r="K43" s="36" t="s">
        <v>9</v>
      </c>
      <c r="L43" s="52">
        <v>110</v>
      </c>
      <c r="M43" s="5" t="s">
        <v>27</v>
      </c>
      <c r="N43" s="53">
        <v>6.5</v>
      </c>
      <c r="O43" s="53">
        <f>N43*L43</f>
        <v>715</v>
      </c>
      <c r="P43" s="52">
        <v>110</v>
      </c>
      <c r="Q43" s="5" t="s">
        <v>27</v>
      </c>
      <c r="R43" s="53">
        <v>6.5</v>
      </c>
      <c r="S43" s="53">
        <f>R43*P43</f>
        <v>715</v>
      </c>
      <c r="U43" s="36" t="s">
        <v>9</v>
      </c>
      <c r="V43" s="52">
        <v>120</v>
      </c>
      <c r="W43" s="5" t="s">
        <v>27</v>
      </c>
      <c r="X43" s="53">
        <v>6.5</v>
      </c>
      <c r="Y43" s="53">
        <f>X43*V43</f>
        <v>780</v>
      </c>
      <c r="Z43" s="52">
        <v>125</v>
      </c>
      <c r="AA43" s="5" t="s">
        <v>27</v>
      </c>
      <c r="AB43" s="53">
        <v>6.5</v>
      </c>
      <c r="AC43" s="53">
        <f>AB43*Z43</f>
        <v>812.5</v>
      </c>
    </row>
    <row r="44" spans="2:29" x14ac:dyDescent="0.2">
      <c r="B44" s="36" t="s">
        <v>28</v>
      </c>
      <c r="C44" s="52">
        <v>1</v>
      </c>
      <c r="D44" s="5" t="s">
        <v>29</v>
      </c>
      <c r="E44" s="53">
        <v>400</v>
      </c>
      <c r="F44" s="53">
        <f>E44*C44</f>
        <v>400</v>
      </c>
      <c r="G44" s="52">
        <v>1</v>
      </c>
      <c r="H44" s="5" t="s">
        <v>29</v>
      </c>
      <c r="I44" s="53">
        <v>400</v>
      </c>
      <c r="J44" s="53">
        <f>I44*G44</f>
        <v>400</v>
      </c>
      <c r="K44" s="36" t="s">
        <v>28</v>
      </c>
      <c r="L44" s="52">
        <v>1</v>
      </c>
      <c r="M44" s="5" t="s">
        <v>29</v>
      </c>
      <c r="N44" s="53">
        <v>400</v>
      </c>
      <c r="O44" s="53">
        <f>N44*L44</f>
        <v>400</v>
      </c>
      <c r="P44" s="52">
        <v>1</v>
      </c>
      <c r="Q44" s="5" t="s">
        <v>29</v>
      </c>
      <c r="R44" s="53">
        <v>400</v>
      </c>
      <c r="S44" s="53">
        <f>R44*P44</f>
        <v>400</v>
      </c>
      <c r="U44" s="36" t="s">
        <v>28</v>
      </c>
      <c r="V44" s="52">
        <v>1</v>
      </c>
      <c r="W44" s="5" t="s">
        <v>29</v>
      </c>
      <c r="X44" s="53">
        <v>400</v>
      </c>
      <c r="Y44" s="53">
        <f>X44*V44</f>
        <v>400</v>
      </c>
      <c r="Z44" s="52">
        <v>1</v>
      </c>
      <c r="AA44" s="5" t="s">
        <v>29</v>
      </c>
      <c r="AB44" s="53">
        <v>400</v>
      </c>
      <c r="AC44" s="53">
        <f>AB44*Z44</f>
        <v>400</v>
      </c>
    </row>
    <row r="45" spans="2:29" x14ac:dyDescent="0.2">
      <c r="B45" s="36" t="s">
        <v>10</v>
      </c>
      <c r="C45" s="52">
        <v>1</v>
      </c>
      <c r="D45" s="5" t="s">
        <v>29</v>
      </c>
      <c r="E45" s="53">
        <v>800</v>
      </c>
      <c r="F45" s="53">
        <f>E45*C45</f>
        <v>800</v>
      </c>
      <c r="G45" s="52">
        <v>1</v>
      </c>
      <c r="H45" s="5" t="s">
        <v>29</v>
      </c>
      <c r="I45" s="53">
        <v>800</v>
      </c>
      <c r="J45" s="53">
        <f>I45*G45</f>
        <v>800</v>
      </c>
      <c r="K45" s="36" t="s">
        <v>10</v>
      </c>
      <c r="L45" s="52">
        <v>1</v>
      </c>
      <c r="M45" s="5" t="s">
        <v>29</v>
      </c>
      <c r="N45" s="53">
        <v>700</v>
      </c>
      <c r="O45" s="53">
        <f>N45*L45</f>
        <v>700</v>
      </c>
      <c r="P45" s="52">
        <v>1</v>
      </c>
      <c r="Q45" s="5" t="s">
        <v>29</v>
      </c>
      <c r="R45" s="53">
        <v>700</v>
      </c>
      <c r="S45" s="53">
        <f>R45*P45</f>
        <v>700</v>
      </c>
      <c r="U45" s="36" t="s">
        <v>10</v>
      </c>
      <c r="V45" s="52">
        <v>1</v>
      </c>
      <c r="W45" s="5" t="s">
        <v>29</v>
      </c>
      <c r="X45" s="53">
        <v>700</v>
      </c>
      <c r="Y45" s="53">
        <f>X45*V45</f>
        <v>700</v>
      </c>
      <c r="Z45" s="52">
        <v>1</v>
      </c>
      <c r="AA45" s="5" t="s">
        <v>29</v>
      </c>
      <c r="AB45" s="53">
        <v>700</v>
      </c>
      <c r="AC45" s="53">
        <f>AB45*Z45</f>
        <v>700</v>
      </c>
    </row>
    <row r="46" spans="2:29" x14ac:dyDescent="0.2">
      <c r="B46" s="36" t="s">
        <v>50</v>
      </c>
      <c r="C46" s="52">
        <v>0</v>
      </c>
      <c r="D46" s="5" t="s">
        <v>33</v>
      </c>
      <c r="E46" s="53">
        <v>47</v>
      </c>
      <c r="F46" s="53">
        <f>E46*C46</f>
        <v>0</v>
      </c>
      <c r="G46" s="52">
        <v>100</v>
      </c>
      <c r="H46" s="5" t="s">
        <v>14</v>
      </c>
      <c r="I46" s="81">
        <v>8.31</v>
      </c>
      <c r="J46" s="53">
        <f>I46*G46</f>
        <v>831</v>
      </c>
      <c r="K46" s="36" t="s">
        <v>50</v>
      </c>
      <c r="L46" s="52">
        <v>0</v>
      </c>
      <c r="M46" s="5" t="s">
        <v>33</v>
      </c>
      <c r="N46" s="53">
        <v>47</v>
      </c>
      <c r="O46" s="53">
        <f>N46*L46</f>
        <v>0</v>
      </c>
      <c r="P46" s="52">
        <v>100</v>
      </c>
      <c r="Q46" s="5" t="s">
        <v>14</v>
      </c>
      <c r="R46" s="81">
        <v>8.31</v>
      </c>
      <c r="S46" s="53">
        <f>R46*P46</f>
        <v>831</v>
      </c>
      <c r="U46" s="36" t="s">
        <v>32</v>
      </c>
      <c r="V46" s="52">
        <v>0</v>
      </c>
      <c r="W46" s="5" t="s">
        <v>33</v>
      </c>
      <c r="X46" s="53">
        <v>47</v>
      </c>
      <c r="Y46" s="53">
        <f>X46*V46</f>
        <v>0</v>
      </c>
      <c r="Z46" s="52">
        <v>100</v>
      </c>
      <c r="AA46" s="5" t="s">
        <v>14</v>
      </c>
      <c r="AB46" s="53">
        <v>8</v>
      </c>
      <c r="AC46" s="53">
        <f>AB46*Z46</f>
        <v>800</v>
      </c>
    </row>
    <row r="47" spans="2:29" x14ac:dyDescent="0.2">
      <c r="B47" s="36" t="s">
        <v>30</v>
      </c>
      <c r="C47" s="52">
        <v>1</v>
      </c>
      <c r="D47" s="5" t="s">
        <v>13</v>
      </c>
      <c r="E47" s="53">
        <f>SUM(F41:F46)</f>
        <v>41874.972014285711</v>
      </c>
      <c r="F47" s="53">
        <f>E47*C47/100</f>
        <v>418.74972014285709</v>
      </c>
      <c r="G47" s="52">
        <v>1</v>
      </c>
      <c r="H47" s="5" t="s">
        <v>13</v>
      </c>
      <c r="I47" s="53">
        <f>SUM(J41:J46)</f>
        <v>42857.748771428574</v>
      </c>
      <c r="J47" s="53">
        <f>I47*G47/100</f>
        <v>428.57748771428572</v>
      </c>
      <c r="K47" s="36" t="s">
        <v>30</v>
      </c>
      <c r="L47" s="52">
        <v>1</v>
      </c>
      <c r="M47" s="5" t="s">
        <v>13</v>
      </c>
      <c r="N47" s="53">
        <f>SUM(O41:O46)</f>
        <v>44457.606500787959</v>
      </c>
      <c r="O47" s="53">
        <f>N47*L47/100</f>
        <v>444.57606500787961</v>
      </c>
      <c r="P47" s="52">
        <v>1</v>
      </c>
      <c r="Q47" s="5" t="s">
        <v>13</v>
      </c>
      <c r="R47" s="53">
        <f>SUM(S41:S46)</f>
        <v>45459.909751181942</v>
      </c>
      <c r="S47" s="53">
        <f>R47*P47/100</f>
        <v>454.59909751181942</v>
      </c>
      <c r="U47" s="36" t="s">
        <v>30</v>
      </c>
      <c r="V47" s="52">
        <v>1</v>
      </c>
      <c r="W47" s="5" t="s">
        <v>13</v>
      </c>
      <c r="X47" s="53">
        <f>X48+Y48</f>
        <v>47091.459044698815</v>
      </c>
      <c r="Y47" s="53">
        <f>X47*V47/100</f>
        <v>470.91459044698814</v>
      </c>
      <c r="Z47" s="52">
        <v>1</v>
      </c>
      <c r="AA47" s="5" t="s">
        <v>13</v>
      </c>
      <c r="AB47" s="53">
        <f>AB48+AC48+AC44</f>
        <v>48572.473940959695</v>
      </c>
      <c r="AC47" s="53">
        <f>AB47*Z47/100</f>
        <v>485.72473940959696</v>
      </c>
    </row>
    <row r="48" spans="2:29" x14ac:dyDescent="0.2">
      <c r="B48" s="36" t="s">
        <v>34</v>
      </c>
      <c r="C48" s="43">
        <v>3</v>
      </c>
      <c r="D48" s="5" t="s">
        <v>13</v>
      </c>
      <c r="E48" s="53">
        <f>SUM(F41:F47)</f>
        <v>42293.721734428567</v>
      </c>
      <c r="F48" s="53">
        <f>E48*C48/100</f>
        <v>1268.811652032857</v>
      </c>
      <c r="G48" s="43">
        <v>3</v>
      </c>
      <c r="H48" s="5" t="s">
        <v>13</v>
      </c>
      <c r="I48" s="53">
        <f>SUM(J41:J47)</f>
        <v>43286.326259142857</v>
      </c>
      <c r="J48" s="53">
        <f>I48*G48/100</f>
        <v>1298.5897877742857</v>
      </c>
      <c r="K48" s="36" t="s">
        <v>34</v>
      </c>
      <c r="L48" s="43">
        <v>3</v>
      </c>
      <c r="M48" s="5" t="s">
        <v>13</v>
      </c>
      <c r="N48" s="53">
        <f>SUM(O41:O47)</f>
        <v>44902.18256579584</v>
      </c>
      <c r="O48" s="53">
        <f>N48*L48/100</f>
        <v>1347.0654769738751</v>
      </c>
      <c r="P48" s="43">
        <v>3</v>
      </c>
      <c r="Q48" s="5" t="s">
        <v>13</v>
      </c>
      <c r="R48" s="53">
        <f>SUM(S41:S47)</f>
        <v>45914.50884869376</v>
      </c>
      <c r="S48" s="53">
        <f>R48*P48/100</f>
        <v>1377.4352654608128</v>
      </c>
      <c r="U48" s="36" t="s">
        <v>34</v>
      </c>
      <c r="V48" s="43">
        <v>3</v>
      </c>
      <c r="W48" s="5" t="s">
        <v>13</v>
      </c>
      <c r="X48" s="53">
        <f>X42+Y42+Y43+Y44+Y45+Y46</f>
        <v>45719.863150193021</v>
      </c>
      <c r="Y48" s="53">
        <f>X48*V48/100</f>
        <v>1371.5958945057907</v>
      </c>
      <c r="Z48" s="43">
        <v>3</v>
      </c>
      <c r="AA48" s="5" t="s">
        <v>13</v>
      </c>
      <c r="AB48" s="53">
        <f>AB42+AC42+AC43+AC44+AC45+AC46</f>
        <v>46769.392175689027</v>
      </c>
      <c r="AC48" s="53">
        <f>AB48*Z48/100</f>
        <v>1403.081765270671</v>
      </c>
    </row>
    <row r="49" spans="2:29" x14ac:dyDescent="0.2">
      <c r="B49" s="36" t="s">
        <v>46</v>
      </c>
      <c r="C49" s="43">
        <v>-20</v>
      </c>
      <c r="D49" s="5" t="s">
        <v>14</v>
      </c>
      <c r="E49" s="53">
        <v>36</v>
      </c>
      <c r="F49" s="53">
        <f>E49*C49</f>
        <v>-720</v>
      </c>
      <c r="G49" s="43">
        <v>-20</v>
      </c>
      <c r="H49" s="5" t="s">
        <v>14</v>
      </c>
      <c r="I49" s="53">
        <v>36</v>
      </c>
      <c r="J49" s="53">
        <f>I49*G49</f>
        <v>-720</v>
      </c>
      <c r="K49" s="36" t="s">
        <v>46</v>
      </c>
      <c r="L49" s="43">
        <v>-20</v>
      </c>
      <c r="M49" s="5" t="s">
        <v>14</v>
      </c>
      <c r="N49" s="53">
        <v>36</v>
      </c>
      <c r="O49" s="53">
        <f>N49*L49</f>
        <v>-720</v>
      </c>
      <c r="P49" s="43">
        <v>-20</v>
      </c>
      <c r="Q49" s="5" t="s">
        <v>14</v>
      </c>
      <c r="R49" s="53">
        <v>36</v>
      </c>
      <c r="S49" s="53">
        <f>R49*P49</f>
        <v>-720</v>
      </c>
      <c r="U49" s="36" t="s">
        <v>46</v>
      </c>
      <c r="V49" s="43">
        <v>-30</v>
      </c>
      <c r="W49" s="5" t="s">
        <v>14</v>
      </c>
      <c r="X49" s="53">
        <v>36</v>
      </c>
      <c r="Y49" s="53">
        <f>X49*V49</f>
        <v>-1080</v>
      </c>
      <c r="Z49" s="43">
        <v>-30</v>
      </c>
      <c r="AA49" s="5" t="s">
        <v>14</v>
      </c>
      <c r="AB49" s="53">
        <v>36</v>
      </c>
      <c r="AC49" s="53">
        <f>AB49*Z49</f>
        <v>-1080</v>
      </c>
    </row>
    <row r="50" spans="2:29" x14ac:dyDescent="0.2">
      <c r="B50" s="36" t="s">
        <v>47</v>
      </c>
      <c r="C50" s="43">
        <v>-10</v>
      </c>
      <c r="D50" s="5" t="s">
        <v>14</v>
      </c>
      <c r="E50" s="53">
        <v>43</v>
      </c>
      <c r="F50" s="53">
        <f>E50*C50</f>
        <v>-430</v>
      </c>
      <c r="G50" s="43">
        <v>-10</v>
      </c>
      <c r="H50" s="5" t="s">
        <v>14</v>
      </c>
      <c r="I50" s="53">
        <v>43</v>
      </c>
      <c r="J50" s="53">
        <f>I50*G50</f>
        <v>-430</v>
      </c>
      <c r="K50" s="36" t="s">
        <v>47</v>
      </c>
      <c r="L50" s="43">
        <v>-10</v>
      </c>
      <c r="M50" s="5" t="s">
        <v>14</v>
      </c>
      <c r="N50" s="53">
        <v>43</v>
      </c>
      <c r="O50" s="53">
        <f>N50*L50</f>
        <v>-430</v>
      </c>
      <c r="P50" s="43">
        <v>-10</v>
      </c>
      <c r="Q50" s="5" t="s">
        <v>14</v>
      </c>
      <c r="R50" s="53">
        <v>43</v>
      </c>
      <c r="S50" s="53">
        <f>R50*P50</f>
        <v>-430</v>
      </c>
      <c r="U50" s="36"/>
      <c r="V50" s="43"/>
      <c r="W50" s="5"/>
      <c r="X50" s="53"/>
      <c r="Y50" s="53"/>
      <c r="Z50" s="43"/>
      <c r="AA50" s="5"/>
      <c r="AB50" s="53"/>
      <c r="AC50" s="53"/>
    </row>
    <row r="51" spans="2:29" x14ac:dyDescent="0.2">
      <c r="B51" s="37" t="s">
        <v>31</v>
      </c>
      <c r="C51" s="27"/>
      <c r="D51" s="27"/>
      <c r="E51" s="67"/>
      <c r="F51" s="68">
        <f>SUM(F43:F50)</f>
        <v>2452.5613721757136</v>
      </c>
      <c r="G51" s="64"/>
      <c r="H51" s="27"/>
      <c r="I51" s="67"/>
      <c r="J51" s="68">
        <f>SUM(J43:J50)</f>
        <v>3323.1672754885712</v>
      </c>
      <c r="K51" s="37" t="s">
        <v>31</v>
      </c>
      <c r="L51" s="27"/>
      <c r="M51" s="27"/>
      <c r="N51" s="27"/>
      <c r="O51" s="68">
        <f>SUM(O43:O50)</f>
        <v>2456.6415419817549</v>
      </c>
      <c r="P51" s="64"/>
      <c r="Q51" s="27"/>
      <c r="R51" s="67"/>
      <c r="S51" s="68">
        <f>SUM(S43:S50)</f>
        <v>3328.0343629726322</v>
      </c>
      <c r="U51" s="37" t="s">
        <v>31</v>
      </c>
      <c r="V51" s="27"/>
      <c r="W51" s="27"/>
      <c r="X51" s="27"/>
      <c r="Y51" s="68">
        <f>SUM(Y43:Y47)</f>
        <v>2350.9145904469883</v>
      </c>
      <c r="Z51" s="27"/>
      <c r="AA51" s="27"/>
      <c r="AB51" s="67"/>
      <c r="AC51" s="68">
        <f>SUM(AC43:AC47)</f>
        <v>3198.2247394095971</v>
      </c>
    </row>
    <row r="52" spans="2:29" x14ac:dyDescent="0.2">
      <c r="B52" s="38" t="s">
        <v>39</v>
      </c>
      <c r="C52" s="69" t="s">
        <v>17</v>
      </c>
      <c r="D52" s="29" t="s">
        <v>29</v>
      </c>
      <c r="E52" s="70">
        <v>500</v>
      </c>
      <c r="F52" s="71">
        <v>500</v>
      </c>
      <c r="G52" s="69" t="s">
        <v>17</v>
      </c>
      <c r="H52" s="29" t="s">
        <v>29</v>
      </c>
      <c r="I52" s="70">
        <v>500</v>
      </c>
      <c r="J52" s="71">
        <v>500</v>
      </c>
      <c r="K52" s="38" t="s">
        <v>39</v>
      </c>
      <c r="L52" s="69" t="s">
        <v>17</v>
      </c>
      <c r="M52" s="29" t="s">
        <v>29</v>
      </c>
      <c r="N52" s="70">
        <v>500</v>
      </c>
      <c r="O52" s="71">
        <v>500</v>
      </c>
      <c r="P52" s="69" t="s">
        <v>17</v>
      </c>
      <c r="Q52" s="29" t="s">
        <v>29</v>
      </c>
      <c r="R52" s="70">
        <v>500</v>
      </c>
      <c r="S52" s="71">
        <v>500</v>
      </c>
      <c r="U52" s="38" t="s">
        <v>39</v>
      </c>
      <c r="V52" s="69" t="s">
        <v>17</v>
      </c>
      <c r="W52" s="29" t="s">
        <v>29</v>
      </c>
      <c r="X52" s="70">
        <v>500</v>
      </c>
      <c r="Y52" s="71">
        <v>500</v>
      </c>
      <c r="Z52" s="69" t="s">
        <v>17</v>
      </c>
      <c r="AA52" s="29" t="s">
        <v>29</v>
      </c>
      <c r="AB52" s="70">
        <v>500</v>
      </c>
      <c r="AC52" s="71">
        <v>500</v>
      </c>
    </row>
    <row r="53" spans="2:29" x14ac:dyDescent="0.2">
      <c r="B53" s="39" t="s">
        <v>5</v>
      </c>
      <c r="C53" s="31"/>
      <c r="D53" s="31"/>
      <c r="E53" s="31"/>
      <c r="F53" s="72">
        <f>F41+F51+F52</f>
        <v>42608.979872175711</v>
      </c>
      <c r="G53" s="31"/>
      <c r="H53" s="31"/>
      <c r="I53" s="31"/>
      <c r="J53" s="72">
        <f>J41+J51+J52</f>
        <v>43479.585775488573</v>
      </c>
      <c r="K53" s="39" t="s">
        <v>5</v>
      </c>
      <c r="L53" s="31"/>
      <c r="M53" s="31"/>
      <c r="N53" s="31"/>
      <c r="O53" s="72">
        <f>O41+O51+O52</f>
        <v>45256.641541981757</v>
      </c>
      <c r="P53" s="31"/>
      <c r="Q53" s="31"/>
      <c r="R53" s="31"/>
      <c r="S53" s="72">
        <f>S41+S51+S52</f>
        <v>46128.034362972634</v>
      </c>
      <c r="U53" s="39" t="s">
        <v>5</v>
      </c>
      <c r="V53" s="31"/>
      <c r="W53" s="31"/>
      <c r="X53" s="79"/>
      <c r="Y53" s="72">
        <f>AA15+Y51+Y52</f>
        <v>46256.719689648002</v>
      </c>
      <c r="Z53" s="31"/>
      <c r="AA53" s="31"/>
      <c r="AB53" s="31"/>
      <c r="AC53" s="72">
        <f>AA15+AC51+AC52</f>
        <v>47104.029838610608</v>
      </c>
    </row>
    <row r="54" spans="2:29" x14ac:dyDescent="0.2">
      <c r="B54" s="36" t="s">
        <v>35</v>
      </c>
      <c r="C54" s="5"/>
      <c r="D54" s="5"/>
      <c r="E54" s="5"/>
      <c r="F54" s="65">
        <v>42300</v>
      </c>
      <c r="G54" s="5"/>
      <c r="H54" s="5"/>
      <c r="I54" s="5"/>
      <c r="J54" s="65">
        <v>42300</v>
      </c>
      <c r="K54" s="36" t="s">
        <v>35</v>
      </c>
      <c r="L54" s="5"/>
      <c r="M54" s="5"/>
      <c r="N54" s="5"/>
      <c r="O54" s="65">
        <v>47200</v>
      </c>
      <c r="P54" s="5"/>
      <c r="Q54" s="5"/>
      <c r="R54" s="5"/>
      <c r="S54" s="65">
        <v>47200</v>
      </c>
      <c r="U54" s="36" t="s">
        <v>35</v>
      </c>
      <c r="V54" s="5"/>
      <c r="W54" s="5"/>
      <c r="X54" s="5"/>
      <c r="Y54" s="65">
        <v>47500</v>
      </c>
      <c r="Z54" s="5"/>
      <c r="AA54" s="5"/>
      <c r="AB54" s="5"/>
      <c r="AC54" s="65">
        <v>47500</v>
      </c>
    </row>
    <row r="55" spans="2:29" x14ac:dyDescent="0.2">
      <c r="B55" s="40" t="s">
        <v>58</v>
      </c>
      <c r="C55" s="33"/>
      <c r="D55" s="33"/>
      <c r="E55" s="33"/>
      <c r="F55" s="73">
        <f>F54-F53</f>
        <v>-308.97987217571063</v>
      </c>
      <c r="G55" s="33"/>
      <c r="H55" s="33"/>
      <c r="I55" s="33"/>
      <c r="J55" s="73">
        <f>J54-J53</f>
        <v>-1179.5857754885728</v>
      </c>
      <c r="K55" s="40" t="s">
        <v>58</v>
      </c>
      <c r="L55" s="33"/>
      <c r="M55" s="33"/>
      <c r="N55" s="33"/>
      <c r="O55" s="73">
        <f>O54-O53</f>
        <v>1943.3584580182433</v>
      </c>
      <c r="P55" s="33"/>
      <c r="Q55" s="33"/>
      <c r="R55" s="33"/>
      <c r="S55" s="73">
        <f>S54-S53</f>
        <v>1071.965637027366</v>
      </c>
      <c r="U55" s="40" t="s">
        <v>58</v>
      </c>
      <c r="V55" s="33"/>
      <c r="W55" s="33"/>
      <c r="X55" s="33"/>
      <c r="Y55" s="73">
        <f>Y54-Y53</f>
        <v>1243.2803103519982</v>
      </c>
      <c r="Z55" s="33"/>
      <c r="AA55" s="33"/>
      <c r="AB55" s="33"/>
      <c r="AC55" s="73">
        <f>AC54-AC53</f>
        <v>395.97016138939216</v>
      </c>
    </row>
    <row r="56" spans="2:29" x14ac:dyDescent="0.2">
      <c r="B56" s="40" t="s">
        <v>59</v>
      </c>
      <c r="C56" s="33"/>
      <c r="D56" s="33"/>
      <c r="E56" s="33"/>
      <c r="F56" s="73">
        <f>F55+F52+F45+F31</f>
        <v>1491.0201278242894</v>
      </c>
      <c r="G56" s="33"/>
      <c r="H56" s="33"/>
      <c r="I56" s="33"/>
      <c r="J56" s="73">
        <f>J55+J52+J45+F31</f>
        <v>620.41422451142716</v>
      </c>
      <c r="K56" s="40" t="s">
        <v>59</v>
      </c>
      <c r="L56" s="33"/>
      <c r="M56" s="33"/>
      <c r="N56" s="33"/>
      <c r="O56" s="73">
        <f>O55+O52+O45+O31</f>
        <v>3643.3584580182433</v>
      </c>
      <c r="P56" s="33"/>
      <c r="Q56" s="33"/>
      <c r="R56" s="33"/>
      <c r="S56" s="73">
        <f>S55+S52+S45+O31</f>
        <v>2771.965637027366</v>
      </c>
      <c r="U56" s="40" t="s">
        <v>59</v>
      </c>
      <c r="V56" s="33"/>
      <c r="W56" s="33"/>
      <c r="X56" s="33"/>
      <c r="Y56" s="73">
        <f>Y55-Y54</f>
        <v>-46256.719689648002</v>
      </c>
      <c r="Z56" s="33"/>
      <c r="AA56" s="33"/>
      <c r="AB56" s="33"/>
      <c r="AC56" s="73">
        <f>AC55-AC54</f>
        <v>-47104.029838610608</v>
      </c>
    </row>
  </sheetData>
  <mergeCells count="15">
    <mergeCell ref="Z38:AC38"/>
    <mergeCell ref="C4:I4"/>
    <mergeCell ref="K4:Q4"/>
    <mergeCell ref="U4:AA4"/>
    <mergeCell ref="C21:F21"/>
    <mergeCell ref="L21:O21"/>
    <mergeCell ref="V21:Y21"/>
    <mergeCell ref="B37:J37"/>
    <mergeCell ref="K37:S37"/>
    <mergeCell ref="U37:AC37"/>
    <mergeCell ref="C38:F38"/>
    <mergeCell ref="G38:J38"/>
    <mergeCell ref="L38:O38"/>
    <mergeCell ref="P38:S38"/>
    <mergeCell ref="V38:Y38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Raipur</vt:lpstr>
      <vt:lpstr>NCR</vt:lpstr>
      <vt:lpstr>Raipur NCR (29 Oct)</vt:lpstr>
      <vt:lpstr>Sheet1</vt:lpstr>
      <vt:lpstr>DGP</vt:lpstr>
      <vt:lpstr>Sheet2</vt:lpstr>
      <vt:lpstr>Steel Mint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Shubhenjit Chaudhuri</dc:creator>
  <cp:lastModifiedBy>Sumit Kumar</cp:lastModifiedBy>
  <cp:lastPrinted>2024-12-13T06:15:36Z</cp:lastPrinted>
  <dcterms:created xsi:type="dcterms:W3CDTF">2023-09-14T09:18:44Z</dcterms:created>
  <dcterms:modified xsi:type="dcterms:W3CDTF">2026-03-26T06:12:56Z</dcterms:modified>
</cp:coreProperties>
</file>