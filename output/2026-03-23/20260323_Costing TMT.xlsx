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28800" windowHeight="17500" tabRatio="600" firstSheet="0" activeTab="1" autoFilterDateGrouping="1"/>
  </bookViews>
  <sheets>
    <sheet name="Raipur" sheetId="1" state="visible" r:id="rId1"/>
    <sheet name="NCR" sheetId="2" state="visible" r:id="rId2"/>
  </sheets>
  <externalReferences>
    <externalReference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* #,##0.0_);_(* \(#,##0.0\);_(* &quot;-&quot;??_);_(@_)"/>
    <numFmt numFmtId="165" formatCode="_(* #,##0_);_(* \(#,##0\);_(* &quot;-&quot;??_);_(@_)"/>
    <numFmt numFmtId="166" formatCode="_-* #,##0.00_-;\-* #,##0.00_-;_-* &quot;-&quot;??_-;_-@_-"/>
  </numFmts>
  <fonts count="2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4" tint="-0.499984740745262"/>
      <sz val="11"/>
      <scheme val="minor"/>
    </font>
    <font>
      <name val="Calibri"/>
      <family val="2"/>
      <color theme="4" tint="-0.499984740745262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Calibri"/>
      <family val="2"/>
      <color rgb="FFFF0000"/>
      <sz val="11"/>
      <scheme val="minor"/>
    </font>
    <font>
      <name val="Aptos Narrow"/>
      <family val="2"/>
      <color rgb="FF000000"/>
      <sz val="11"/>
    </font>
    <font>
      <name val="Calibri"/>
      <family val="2"/>
      <color rgb="FFFFFFFF"/>
      <sz val="12"/>
      <scheme val="minor"/>
    </font>
    <font>
      <name val="Aptos Narrow"/>
      <color rgb="FF000000"/>
      <sz val="11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Calibri"/>
      <family val="2"/>
      <color rgb="FF000000"/>
      <sz val="10"/>
      <scheme val="minor"/>
    </font>
    <font>
      <name val="Calibri"/>
      <b val="1"/>
      <color rgb="001F4E79"/>
      <sz val="14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F4E79"/>
      <sz val="11"/>
    </font>
    <font>
      <name val="Calibri"/>
      <b val="1"/>
      <color rgb="00333333"/>
      <sz val="11"/>
    </font>
  </fonts>
  <fills count="27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3C7D2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B5394"/>
        <bgColor rgb="FF0B5394"/>
      </patternFill>
    </fill>
    <fill>
      <patternFill patternType="solid">
        <fgColor rgb="FFD9D9D9"/>
        <bgColor rgb="FF000000"/>
      </patternFill>
    </fill>
    <fill>
      <patternFill patternType="solid">
        <fgColor rgb="FF82E39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FFFFFF"/>
        <bgColor rgb="00FFFFFF"/>
      </patternFill>
    </fill>
    <fill>
      <patternFill patternType="solid">
        <fgColor rgb="00BDD7EE"/>
        <bgColor rgb="00BDD7EE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548235"/>
        <bgColor rgb="00548235"/>
      </patternFill>
    </fill>
    <fill>
      <patternFill patternType="solid">
        <fgColor rgb="00D6E4F0"/>
        <bgColor rgb="00D6E4F0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medium">
        <color rgb="001F4E79"/>
      </bottom>
    </border>
  </borders>
  <cellStyleXfs count="2">
    <xf numFmtId="0" fontId="4" fillId="0" borderId="0"/>
    <xf numFmtId="43" fontId="4" fillId="0" borderId="0"/>
  </cellStyleXfs>
  <cellXfs count="222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vertical="center"/>
    </xf>
    <xf numFmtId="1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1" fillId="2" borderId="2" applyAlignment="1" pivotButton="0" quotePrefix="0" xfId="0">
      <alignment vertical="center"/>
    </xf>
    <xf numFmtId="0" fontId="0" fillId="2" borderId="3" applyAlignment="1" pivotButton="0" quotePrefix="0" xfId="0">
      <alignment vertical="center"/>
    </xf>
    <xf numFmtId="1" fontId="1" fillId="2" borderId="4" applyAlignment="1" pivotButton="0" quotePrefix="0" xfId="0">
      <alignment horizontal="center" vertical="center"/>
    </xf>
    <xf numFmtId="0" fontId="1" fillId="3" borderId="2" applyAlignment="1" pivotButton="0" quotePrefix="0" xfId="0">
      <alignment vertical="center"/>
    </xf>
    <xf numFmtId="0" fontId="0" fillId="3" borderId="3" applyAlignment="1" pivotButton="0" quotePrefix="0" xfId="0">
      <alignment vertical="center"/>
    </xf>
    <xf numFmtId="0" fontId="1" fillId="3" borderId="4" applyAlignment="1" pivotButton="0" quotePrefix="0" xfId="0">
      <alignment horizontal="center"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1" fontId="1" fillId="0" borderId="4" applyAlignment="1" pivotButton="0" quotePrefix="0" xfId="0">
      <alignment horizontal="center" vertical="center"/>
    </xf>
    <xf numFmtId="1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" fontId="0" fillId="0" borderId="1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1" fontId="1" fillId="0" borderId="4" applyAlignment="1" pivotButton="0" quotePrefix="0" xfId="0">
      <alignment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" fontId="1" fillId="8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" fontId="1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" fontId="1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vertical="center"/>
    </xf>
    <xf numFmtId="1" fontId="2" fillId="7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0" borderId="1" applyAlignment="1" pivotButton="0" quotePrefix="0" xfId="0">
      <alignment horizontal="left" vertical="center"/>
    </xf>
    <xf numFmtId="0" fontId="1" fillId="8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" fontId="1" fillId="2" borderId="4" applyAlignment="1" pivotButton="0" quotePrefix="0" xfId="0">
      <alignment vertical="center"/>
    </xf>
    <xf numFmtId="0" fontId="1" fillId="3" borderId="4" applyAlignment="1" pivotButton="0" quotePrefix="0" xfId="0">
      <alignment vertical="center"/>
    </xf>
    <xf numFmtId="0" fontId="0" fillId="0" borderId="1" applyAlignment="1" pivotButton="0" quotePrefix="0" xfId="0">
      <alignment horizontal="right" vertical="center"/>
    </xf>
    <xf numFmtId="1" fontId="0" fillId="0" borderId="1" applyAlignment="1" pivotButton="0" quotePrefix="0" xfId="0">
      <alignment horizontal="right" vertical="center"/>
    </xf>
    <xf numFmtId="0" fontId="0" fillId="2" borderId="3" applyAlignment="1" pivotButton="0" quotePrefix="0" xfId="0">
      <alignment horizontal="right" vertical="center"/>
    </xf>
    <xf numFmtId="0" fontId="0" fillId="3" borderId="3" applyAlignment="1" pivotButton="0" quotePrefix="0" xfId="0">
      <alignment horizontal="right" vertical="center"/>
    </xf>
    <xf numFmtId="0" fontId="1" fillId="0" borderId="3" applyAlignment="1" pivotButton="0" quotePrefix="0" xfId="0">
      <alignment horizontal="right" vertical="center"/>
    </xf>
    <xf numFmtId="0" fontId="1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center"/>
    </xf>
    <xf numFmtId="164" fontId="0" fillId="0" borderId="1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164" fontId="0" fillId="0" borderId="1" applyAlignment="1" pivotButton="0" quotePrefix="0" xfId="1">
      <alignment vertical="center"/>
    </xf>
    <xf numFmtId="165" fontId="0" fillId="0" borderId="1" applyAlignment="1" pivotButton="0" quotePrefix="0" xfId="1">
      <alignment vertical="center"/>
    </xf>
    <xf numFmtId="165" fontId="1" fillId="2" borderId="4" applyAlignment="1" pivotButton="0" quotePrefix="0" xfId="1">
      <alignment vertical="center"/>
    </xf>
    <xf numFmtId="165" fontId="1" fillId="3" borderId="4" applyAlignment="1" pivotButton="0" quotePrefix="0" xfId="1">
      <alignment vertical="center"/>
    </xf>
    <xf numFmtId="165" fontId="1" fillId="0" borderId="4" applyAlignment="1" pivotButton="0" quotePrefix="0" xfId="1">
      <alignment vertical="center"/>
    </xf>
    <xf numFmtId="165" fontId="0" fillId="0" borderId="1" applyAlignment="1" pivotButton="0" quotePrefix="0" xfId="1">
      <alignment horizontal="right" vertical="center"/>
    </xf>
    <xf numFmtId="165" fontId="1" fillId="2" borderId="4" applyAlignment="1" pivotButton="0" quotePrefix="0" xfId="1">
      <alignment horizontal="right" vertical="center"/>
    </xf>
    <xf numFmtId="165" fontId="1" fillId="3" borderId="4" applyAlignment="1" pivotButton="0" quotePrefix="0" xfId="1">
      <alignment horizontal="right" vertical="center"/>
    </xf>
    <xf numFmtId="165" fontId="1" fillId="0" borderId="4" applyAlignment="1" pivotButton="0" quotePrefix="0" xfId="1">
      <alignment horizontal="right" vertical="center"/>
    </xf>
    <xf numFmtId="164" fontId="0" fillId="9" borderId="1" applyAlignment="1" pivotButton="0" quotePrefix="0" xfId="1">
      <alignment horizontal="center" vertical="center"/>
    </xf>
    <xf numFmtId="164" fontId="0" fillId="8" borderId="1" applyAlignment="1" pivotButton="0" quotePrefix="0" xfId="1">
      <alignment horizontal="center" vertical="center"/>
    </xf>
    <xf numFmtId="165" fontId="1" fillId="0" borderId="1" applyAlignment="1" pivotButton="0" quotePrefix="0" xfId="1">
      <alignment horizontal="center" vertical="center"/>
    </xf>
    <xf numFmtId="165" fontId="0" fillId="9" borderId="1" applyAlignment="1" pivotButton="0" quotePrefix="0" xfId="1">
      <alignment horizontal="center" vertical="center"/>
    </xf>
    <xf numFmtId="165" fontId="0" fillId="8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0" fontId="0" fillId="4" borderId="1" applyAlignment="1" pivotButton="0" quotePrefix="0" xfId="0">
      <alignment horizontal="right" vertical="center"/>
    </xf>
    <xf numFmtId="165" fontId="0" fillId="4" borderId="1" applyAlignment="1" pivotButton="0" quotePrefix="0" xfId="1">
      <alignment horizontal="center" vertical="center"/>
    </xf>
    <xf numFmtId="165" fontId="1" fillId="4" borderId="1" applyAlignment="1" pivotButton="0" quotePrefix="0" xfId="1">
      <alignment horizontal="center" vertical="center"/>
    </xf>
    <xf numFmtId="165" fontId="1" fillId="5" borderId="1" applyAlignment="1" pivotButton="0" quotePrefix="0" xfId="1">
      <alignment horizontal="center" vertical="center"/>
    </xf>
    <xf numFmtId="165" fontId="2" fillId="7" borderId="1" applyAlignment="1" pivotButton="0" quotePrefix="0" xfId="1">
      <alignment horizontal="center" vertical="center"/>
    </xf>
    <xf numFmtId="165" fontId="0" fillId="2" borderId="3" applyAlignment="1" pivotButton="0" quotePrefix="0" xfId="1">
      <alignment vertical="center"/>
    </xf>
    <xf numFmtId="165" fontId="1" fillId="2" borderId="4" applyAlignment="1" pivotButton="0" quotePrefix="0" xfId="1">
      <alignment horizontal="center" vertical="center"/>
    </xf>
    <xf numFmtId="165" fontId="1" fillId="3" borderId="4" applyAlignment="1" pivotButton="0" quotePrefix="0" xfId="1">
      <alignment horizontal="center" vertical="center"/>
    </xf>
    <xf numFmtId="165" fontId="1" fillId="0" borderId="4" applyAlignment="1" pivotButton="0" quotePrefix="0" xfId="1">
      <alignment horizontal="center" vertical="center"/>
    </xf>
    <xf numFmtId="0" fontId="1" fillId="6" borderId="5" applyAlignment="1" pivotButton="0" quotePrefix="0" xfId="0">
      <alignment horizontal="center" vertical="center"/>
    </xf>
    <xf numFmtId="165" fontId="0" fillId="5" borderId="1" applyAlignment="1" pivotButton="0" quotePrefix="0" xfId="1">
      <alignment horizontal="center" vertical="center"/>
    </xf>
    <xf numFmtId="166" fontId="0" fillId="0" borderId="0" applyAlignment="1" pivotButton="0" quotePrefix="0" xfId="0">
      <alignment vertical="center"/>
    </xf>
    <xf numFmtId="43" fontId="0" fillId="0" borderId="1" applyAlignment="1" pivotButton="0" quotePrefix="0" xfId="1">
      <alignment horizontal="center" vertical="center"/>
    </xf>
    <xf numFmtId="0" fontId="0" fillId="9" borderId="1" applyAlignment="1" pivotButton="0" quotePrefix="0" xfId="0">
      <alignment vertical="center"/>
    </xf>
    <xf numFmtId="0" fontId="1" fillId="9" borderId="1" applyAlignment="1" pivotButton="0" quotePrefix="0" xfId="0">
      <alignment horizontal="center" vertical="center"/>
    </xf>
    <xf numFmtId="43" fontId="0" fillId="0" borderId="0" applyAlignment="1" pivotButton="0" quotePrefix="0" xfId="1">
      <alignment vertical="center"/>
    </xf>
    <xf numFmtId="165" fontId="0" fillId="0" borderId="0" applyAlignment="1" pivotButton="0" quotePrefix="0" xfId="1">
      <alignment vertical="center"/>
    </xf>
    <xf numFmtId="0" fontId="8" fillId="9" borderId="1" applyAlignment="1" pivotButton="0" quotePrefix="0" xfId="0">
      <alignment vertic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10" fillId="10" borderId="9" applyAlignment="1" pivotButton="0" quotePrefix="0" xfId="0">
      <alignment horizontal="left" vertical="center" wrapText="1"/>
    </xf>
    <xf numFmtId="0" fontId="10" fillId="10" borderId="9" applyAlignment="1" pivotButton="0" quotePrefix="0" xfId="0">
      <alignment horizontal="center" vertical="center" wrapText="1"/>
    </xf>
    <xf numFmtId="0" fontId="9" fillId="11" borderId="11" applyAlignment="1" pivotButton="0" quotePrefix="0" xfId="0">
      <alignment horizontal="left" vertical="center" wrapText="1"/>
    </xf>
    <xf numFmtId="0" fontId="0" fillId="11" borderId="12" applyAlignment="1" pivotButton="0" quotePrefix="0" xfId="0">
      <alignment horizontal="left" vertical="center" wrapText="1"/>
    </xf>
    <xf numFmtId="0" fontId="9" fillId="11" borderId="12" applyAlignment="1" pivotButton="0" quotePrefix="0" xfId="0">
      <alignment horizontal="left" vertical="center" wrapText="1"/>
    </xf>
    <xf numFmtId="0" fontId="9" fillId="11" borderId="13" applyAlignment="1" pivotButton="0" quotePrefix="0" xfId="0">
      <alignment horizontal="left" vertical="center" wrapText="1"/>
    </xf>
    <xf numFmtId="0" fontId="9" fillId="0" borderId="0" applyAlignment="1" pivotButton="0" quotePrefix="0" xfId="0">
      <alignment wrapText="1"/>
    </xf>
    <xf numFmtId="0" fontId="9" fillId="0" borderId="0" applyAlignment="1" pivotButton="0" quotePrefix="0" xfId="0">
      <alignment horizontal="left" wrapText="1"/>
    </xf>
    <xf numFmtId="0" fontId="9" fillId="11" borderId="11" applyAlignment="1" pivotButton="0" quotePrefix="0" xfId="0">
      <alignment horizontal="left" wrapText="1"/>
    </xf>
    <xf numFmtId="0" fontId="11" fillId="12" borderId="0" applyAlignment="1" pivotButton="0" quotePrefix="0" xfId="0">
      <alignment wrapText="1"/>
    </xf>
    <xf numFmtId="0" fontId="9" fillId="11" borderId="10" applyAlignment="1" pivotButton="0" quotePrefix="0" xfId="0">
      <alignment horizontal="left"/>
    </xf>
    <xf numFmtId="0" fontId="11" fillId="12" borderId="0" pivotButton="0" quotePrefix="0" xfId="0"/>
    <xf numFmtId="0" fontId="9" fillId="11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vertical="center" wrapText="1"/>
    </xf>
    <xf numFmtId="0" fontId="9" fillId="11" borderId="1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center" wrapText="1"/>
    </xf>
    <xf numFmtId="0" fontId="10" fillId="13" borderId="9" applyAlignment="1" pivotButton="0" quotePrefix="0" xfId="0">
      <alignment horizontal="center" vertical="center" wrapText="1"/>
    </xf>
    <xf numFmtId="0" fontId="9" fillId="14" borderId="9" applyAlignment="1" pivotButton="0" quotePrefix="0" xfId="0">
      <alignment horizontal="center" vertical="center" wrapText="1"/>
    </xf>
    <xf numFmtId="0" fontId="9" fillId="14" borderId="9" applyAlignment="1" pivotButton="0" quotePrefix="0" xfId="0">
      <alignment vertical="center" wrapText="1"/>
    </xf>
    <xf numFmtId="0" fontId="9" fillId="14" borderId="9" applyAlignment="1" pivotButton="0" quotePrefix="0" xfId="0">
      <alignment horizontal="center" vertical="center"/>
    </xf>
    <xf numFmtId="0" fontId="9" fillId="14" borderId="9" applyAlignment="1" pivotButton="0" quotePrefix="0" xfId="0">
      <alignment vertical="center"/>
    </xf>
    <xf numFmtId="0" fontId="9" fillId="15" borderId="9" applyAlignment="1" pivotButton="0" quotePrefix="0" xfId="0">
      <alignment horizontal="center" vertical="center" wrapText="1"/>
    </xf>
    <xf numFmtId="0" fontId="9" fillId="15" borderId="9" applyAlignment="1" pivotButton="0" quotePrefix="0" xfId="0">
      <alignment vertical="center" wrapText="1"/>
    </xf>
    <xf numFmtId="0" fontId="9" fillId="14" borderId="15" applyAlignment="1" pivotButton="0" quotePrefix="0" xfId="0">
      <alignment horizontal="center" vertical="center" wrapText="1"/>
    </xf>
    <xf numFmtId="0" fontId="9" fillId="14" borderId="15" applyAlignment="1" pivotButton="0" quotePrefix="0" xfId="0">
      <alignment vertical="center" wrapText="1"/>
    </xf>
    <xf numFmtId="0" fontId="9" fillId="14" borderId="16" applyAlignment="1" pivotButton="0" quotePrefix="0" xfId="0">
      <alignment vertical="center" wrapText="1"/>
    </xf>
    <xf numFmtId="0" fontId="1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1" fillId="16" borderId="1" applyAlignment="1" pivotButton="0" quotePrefix="0" xfId="0">
      <alignment horizontal="left" vertical="center"/>
    </xf>
    <xf numFmtId="1" fontId="0" fillId="16" borderId="1" applyAlignment="1" pivotButton="0" quotePrefix="0" xfId="0">
      <alignment horizontal="center" vertical="center"/>
    </xf>
    <xf numFmtId="1" fontId="1" fillId="16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vertical="center"/>
    </xf>
    <xf numFmtId="1" fontId="2" fillId="9" borderId="1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6" borderId="1" applyAlignment="1" pivotButton="0" quotePrefix="0" xfId="0">
      <alignment vertical="center"/>
    </xf>
    <xf numFmtId="0" fontId="1" fillId="16" borderId="2" applyAlignment="1" pivotButton="0" quotePrefix="0" xfId="0">
      <alignment horizontal="center" vertical="center"/>
    </xf>
    <xf numFmtId="0" fontId="0" fillId="16" borderId="2" applyAlignment="1" pivotButton="0" quotePrefix="0" xfId="0">
      <alignment horizontal="center" vertical="center"/>
    </xf>
    <xf numFmtId="1" fontId="1" fillId="16" borderId="2" applyAlignment="1" pivotButton="0" quotePrefix="0" xfId="0">
      <alignment horizontal="center" vertical="center"/>
    </xf>
    <xf numFmtId="1" fontId="0" fillId="16" borderId="2" applyAlignment="1" pivotButton="0" quotePrefix="0" xfId="0">
      <alignment horizontal="center" vertical="center"/>
    </xf>
    <xf numFmtId="1" fontId="2" fillId="9" borderId="2" applyAlignment="1" pivotButton="0" quotePrefix="0" xfId="0">
      <alignment horizontal="center" vertical="center"/>
    </xf>
    <xf numFmtId="0" fontId="1" fillId="6" borderId="4" applyAlignment="1" pivotButton="0" quotePrefix="0" xfId="0">
      <alignment vertical="center"/>
    </xf>
    <xf numFmtId="0" fontId="1" fillId="16" borderId="4" applyAlignment="1" pivotButton="0" quotePrefix="0" xfId="0">
      <alignment horizontal="center" vertical="center"/>
    </xf>
    <xf numFmtId="1" fontId="1" fillId="16" borderId="4" applyAlignment="1" pivotButton="0" quotePrefix="0" xfId="0">
      <alignment horizontal="center" vertical="center"/>
    </xf>
    <xf numFmtId="1" fontId="0" fillId="16" borderId="4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" fontId="2" fillId="9" borderId="4" applyAlignment="1" pivotButton="0" quotePrefix="0" xfId="0">
      <alignment horizontal="center" vertical="center"/>
    </xf>
    <xf numFmtId="0" fontId="1" fillId="5" borderId="0" applyAlignment="1" pivotButton="0" quotePrefix="0" xfId="0">
      <alignment vertical="center"/>
    </xf>
    <xf numFmtId="0" fontId="0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1" fontId="0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vertical="center"/>
    </xf>
    <xf numFmtId="165" fontId="1" fillId="6" borderId="1" applyAlignment="1" pivotButton="0" quotePrefix="0" xfId="1">
      <alignment vertical="center"/>
    </xf>
    <xf numFmtId="165" fontId="1" fillId="16" borderId="1" applyAlignment="1" pivotButton="0" quotePrefix="0" xfId="1">
      <alignment horizontal="center" vertical="center"/>
    </xf>
    <xf numFmtId="165" fontId="0" fillId="16" borderId="1" applyAlignment="1" pivotButton="0" quotePrefix="0" xfId="1">
      <alignment horizontal="center" vertical="center"/>
    </xf>
    <xf numFmtId="165" fontId="2" fillId="9" borderId="1" applyAlignment="1" pivotButton="0" quotePrefix="0" xfId="1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16" borderId="1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9" fillId="0" borderId="14" applyAlignment="1" pivotButton="0" quotePrefix="0" xfId="0">
      <alignment horizontal="left" wrapText="1"/>
    </xf>
    <xf numFmtId="0" fontId="9" fillId="0" borderId="0" applyAlignment="1" pivotButton="0" quotePrefix="0" xfId="0">
      <alignment horizontal="left" wrapText="1"/>
    </xf>
    <xf numFmtId="0" fontId="9" fillId="0" borderId="0" applyAlignment="1" pivotButton="0" quotePrefix="0" xfId="0">
      <alignment wrapText="1"/>
    </xf>
    <xf numFmtId="0" fontId="9" fillId="11" borderId="11" applyAlignment="1" pivotButton="0" quotePrefix="0" xfId="0">
      <alignment horizontal="left" vertical="center" wrapText="1"/>
    </xf>
    <xf numFmtId="0" fontId="9" fillId="11" borderId="12" applyAlignment="1" pivotButton="0" quotePrefix="0" xfId="0">
      <alignment horizontal="left" vertical="center" wrapText="1"/>
    </xf>
    <xf numFmtId="0" fontId="9" fillId="11" borderId="13" applyAlignment="1" pivotButton="0" quotePrefix="0" xfId="0">
      <alignment horizontal="left" vertical="center" wrapText="1"/>
    </xf>
    <xf numFmtId="0" fontId="1" fillId="6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1" fillId="6" borderId="2" applyAlignment="1" pivotButton="0" quotePrefix="0" xfId="0">
      <alignment horizontal="center" vertical="center"/>
    </xf>
    <xf numFmtId="0" fontId="1" fillId="6" borderId="3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16" borderId="3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0" fillId="17" borderId="1" applyAlignment="1" pivotButton="0" quotePrefix="0" xfId="0">
      <alignment vertical="center"/>
    </xf>
    <xf numFmtId="0" fontId="8" fillId="17" borderId="1" applyAlignment="1" pivotButton="0" quotePrefix="0" xfId="0">
      <alignment vertical="center"/>
    </xf>
    <xf numFmtId="0" fontId="1" fillId="17" borderId="4" applyAlignment="1" pivotButton="0" quotePrefix="0" xfId="0">
      <alignment horizontal="center" vertical="center"/>
    </xf>
    <xf numFmtId="15" fontId="0" fillId="17" borderId="3" applyAlignment="1" pivotButton="0" quotePrefix="0" xfId="0">
      <alignment vertical="center"/>
    </xf>
    <xf numFmtId="0" fontId="1" fillId="17" borderId="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6" fillId="18" borderId="26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6" fillId="19" borderId="26" applyAlignment="1" pivotButton="0" quotePrefix="0" xfId="0">
      <alignment horizontal="center" vertical="center"/>
    </xf>
    <xf numFmtId="165" fontId="1" fillId="0" borderId="1" applyAlignment="1" pivotButton="0" quotePrefix="0" xfId="1">
      <alignment horizontal="center" vertical="center"/>
    </xf>
    <xf numFmtId="0" fontId="0" fillId="20" borderId="26" pivotButton="0" quotePrefix="0" xfId="0"/>
    <xf numFmtId="0" fontId="0" fillId="20" borderId="26" applyAlignment="1" pivotButton="0" quotePrefix="0" xfId="0">
      <alignment vertical="center"/>
    </xf>
    <xf numFmtId="165" fontId="0" fillId="0" borderId="1" applyAlignment="1" pivotButton="0" quotePrefix="0" xfId="1">
      <alignment vertical="center"/>
    </xf>
    <xf numFmtId="0" fontId="17" fillId="20" borderId="26" applyAlignment="1" pivotButton="0" quotePrefix="0" xfId="0">
      <alignment vertical="center"/>
    </xf>
    <xf numFmtId="0" fontId="17" fillId="20" borderId="26" applyAlignment="1" pivotButton="0" quotePrefix="0" xfId="0">
      <alignment horizontal="left" vertical="center"/>
    </xf>
    <xf numFmtId="0" fontId="17" fillId="20" borderId="26" applyAlignment="1" pivotButton="0" quotePrefix="0" xfId="0">
      <alignment horizontal="center" vertical="center"/>
    </xf>
    <xf numFmtId="3" fontId="18" fillId="21" borderId="26" applyAlignment="1" pivotButton="0" quotePrefix="0" xfId="0">
      <alignment horizontal="right" vertical="center"/>
    </xf>
    <xf numFmtId="3" fontId="17" fillId="20" borderId="26" applyAlignment="1" pivotButton="0" quotePrefix="0" xfId="0">
      <alignment horizontal="right" vertical="center"/>
    </xf>
    <xf numFmtId="2" fontId="17" fillId="20" borderId="26" applyAlignment="1" pivotButton="0" quotePrefix="0" xfId="0">
      <alignment horizontal="right" vertical="center"/>
    </xf>
    <xf numFmtId="165" fontId="0" fillId="0" borderId="1" applyAlignment="1" pivotButton="0" quotePrefix="0" xfId="1">
      <alignment horizontal="center" vertical="center"/>
    </xf>
    <xf numFmtId="0" fontId="17" fillId="22" borderId="26" applyAlignment="1" pivotButton="0" quotePrefix="0" xfId="0">
      <alignment vertical="center"/>
    </xf>
    <xf numFmtId="0" fontId="17" fillId="22" borderId="26" applyAlignment="1" pivotButton="0" quotePrefix="0" xfId="0">
      <alignment horizontal="left" vertical="center"/>
    </xf>
    <xf numFmtId="0" fontId="17" fillId="22" borderId="26" applyAlignment="1" pivotButton="0" quotePrefix="0" xfId="0">
      <alignment horizontal="center" vertical="center"/>
    </xf>
    <xf numFmtId="9" fontId="17" fillId="22" borderId="26" applyAlignment="1" pivotButton="0" quotePrefix="0" xfId="0">
      <alignment horizontal="center" vertical="center"/>
    </xf>
    <xf numFmtId="3" fontId="17" fillId="22" borderId="26" applyAlignment="1" pivotButton="0" quotePrefix="0" xfId="0">
      <alignment horizontal="right" vertical="center"/>
    </xf>
    <xf numFmtId="2" fontId="17" fillId="22" borderId="26" applyAlignment="1" pivotButton="0" quotePrefix="0" xfId="0">
      <alignment horizontal="right" vertical="center"/>
    </xf>
    <xf numFmtId="9" fontId="17" fillId="20" borderId="26" applyAlignment="1" pivotButton="0" quotePrefix="0" xfId="0">
      <alignment horizontal="center" vertical="center"/>
    </xf>
    <xf numFmtId="0" fontId="17" fillId="22" borderId="26" pivotButton="0" quotePrefix="0" xfId="0"/>
    <xf numFmtId="0" fontId="17" fillId="22" borderId="26" applyAlignment="1" pivotButton="0" quotePrefix="0" xfId="0">
      <alignment horizontal="right" vertical="center"/>
    </xf>
    <xf numFmtId="0" fontId="17" fillId="20" borderId="26" pivotButton="0" quotePrefix="0" xfId="0"/>
    <xf numFmtId="0" fontId="17" fillId="20" borderId="26" applyAlignment="1" pivotButton="0" quotePrefix="0" xfId="0">
      <alignment horizontal="right" vertical="center"/>
    </xf>
    <xf numFmtId="0" fontId="19" fillId="23" borderId="27" applyAlignment="1" pivotButton="0" quotePrefix="0" xfId="0">
      <alignment horizontal="left" vertical="center"/>
    </xf>
    <xf numFmtId="15" fontId="19" fillId="23" borderId="27" applyAlignment="1" pivotButton="0" quotePrefix="0" xfId="0">
      <alignment horizontal="center" vertical="center"/>
    </xf>
    <xf numFmtId="0" fontId="19" fillId="23" borderId="27" applyAlignment="1" pivotButton="0" quotePrefix="0" xfId="0">
      <alignment horizontal="center" vertical="center"/>
    </xf>
    <xf numFmtId="3" fontId="19" fillId="23" borderId="27" applyAlignment="1" pivotButton="0" quotePrefix="0" xfId="0">
      <alignment horizontal="center" vertical="center"/>
    </xf>
    <xf numFmtId="165" fontId="1" fillId="2" borderId="4" applyAlignment="1" pivotButton="0" quotePrefix="0" xfId="1">
      <alignment horizontal="center" vertical="center"/>
    </xf>
    <xf numFmtId="0" fontId="19" fillId="24" borderId="26" applyAlignment="1" pivotButton="0" quotePrefix="0" xfId="0">
      <alignment horizontal="left" vertical="center"/>
    </xf>
    <xf numFmtId="0" fontId="19" fillId="24" borderId="26" applyAlignment="1" pivotButton="0" quotePrefix="0" xfId="0">
      <alignment horizontal="center" vertical="center"/>
    </xf>
    <xf numFmtId="165" fontId="1" fillId="3" borderId="4" applyAlignment="1" pivotButton="0" quotePrefix="0" xfId="1">
      <alignment horizontal="center" vertical="center"/>
    </xf>
    <xf numFmtId="165" fontId="1" fillId="0" borderId="4" applyAlignment="1" pivotButton="0" quotePrefix="0" xfId="1">
      <alignment horizontal="center" vertical="center"/>
    </xf>
    <xf numFmtId="165" fontId="0" fillId="0" borderId="0" applyAlignment="1" pivotButton="0" quotePrefix="0" xfId="1">
      <alignment vertical="center"/>
    </xf>
    <xf numFmtId="0" fontId="16" fillId="25" borderId="26" applyAlignment="1" pivotButton="0" quotePrefix="0" xfId="0">
      <alignment horizontal="center" vertical="center"/>
    </xf>
    <xf numFmtId="165" fontId="1" fillId="6" borderId="1" applyAlignment="1" pivotButton="0" quotePrefix="0" xfId="1">
      <alignment vertical="center"/>
    </xf>
    <xf numFmtId="165" fontId="1" fillId="16" borderId="1" applyAlignment="1" pivotButton="0" quotePrefix="0" xfId="1">
      <alignment horizontal="center" vertical="center"/>
    </xf>
    <xf numFmtId="165" fontId="0" fillId="16" borderId="1" applyAlignment="1" pivotButton="0" quotePrefix="0" xfId="1">
      <alignment horizontal="center" vertical="center"/>
    </xf>
    <xf numFmtId="0" fontId="19" fillId="26" borderId="26" applyAlignment="1" pivotButton="0" quotePrefix="0" xfId="0">
      <alignment horizontal="left" vertical="center"/>
    </xf>
    <xf numFmtId="0" fontId="19" fillId="26" borderId="26" applyAlignment="1" pivotButton="0" quotePrefix="0" xfId="0">
      <alignment horizontal="right" vertical="center"/>
    </xf>
    <xf numFmtId="3" fontId="19" fillId="26" borderId="26" applyAlignment="1" pivotButton="0" quotePrefix="0" xfId="0">
      <alignment horizontal="right" vertical="center"/>
    </xf>
    <xf numFmtId="165" fontId="2" fillId="9" borderId="1" applyAlignment="1" pivotButton="0" quotePrefix="0" xfId="1">
      <alignment horizontal="center" vertical="center"/>
    </xf>
    <xf numFmtId="0" fontId="0" fillId="20" borderId="26" applyAlignment="1" pivotButton="0" quotePrefix="0" xfId="0">
      <alignment horizontal="center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Sumit K</author>
  </authors>
  <commentList>
    <comment ref="B10" authorId="0" shapeId="0">
      <text>
        <t xml:space="preserve">Sumit K:
25-150 mm, HC 60-14 
</t>
      </text>
    </comment>
  </commentList>
</comments>
</file>

<file path=xl/comments/comment2.xml><?xml version="1.0" encoding="utf-8"?>
<comments xmlns="http://schemas.openxmlformats.org/spreadsheetml/2006/main">
  <authors>
    <author>Sumit K</author>
  </authors>
  <commentList>
    <comment ref="A10" authorId="0" shapeId="0">
      <text>
        <t xml:space="preserve">Sumit K:
25-150 mm, HC 60-14 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/Users/sumitk/Downloads/Costing%20Dec24/12th%20Feb_BILLET%20AND%20TMT%20COSTING%20DETAILS_Raipur%20and%20NCR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  <sheetName val="Sheet2"/>
      <sheetName val="Steel Mint Inputs"/>
    </sheetNames>
    <sheetDataSet>
      <sheetData sheetId="0">
        <row r="53">
          <cell r="F53">
            <v>41582.325872340429</v>
          </cell>
          <cell r="O53">
            <v>44443.723852410454</v>
          </cell>
        </row>
        <row r="54">
          <cell r="F54">
            <v>42000</v>
          </cell>
          <cell r="O54">
            <v>45500</v>
          </cell>
        </row>
        <row r="55">
          <cell r="F55">
            <v>417.67412765957124</v>
          </cell>
          <cell r="O55">
            <v>1056.2761475895459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H39"/>
  <sheetViews>
    <sheetView zoomScale="110" zoomScaleNormal="110" zoomScaleSheetLayoutView="120" workbookViewId="0">
      <pane xSplit="1" ySplit="5" topLeftCell="B6" activePane="bottomRight" state="frozen"/>
      <selection pane="topRight"/>
      <selection pane="bottomLeft"/>
      <selection pane="bottomRight" activeCell="B1" sqref="B1:B1048576"/>
    </sheetView>
  </sheetViews>
  <sheetFormatPr baseColWidth="10" defaultColWidth="8.83203125" defaultRowHeight="15"/>
  <cols>
    <col width="6" bestFit="1" customWidth="1" style="1" min="1" max="1"/>
    <col width="28" customWidth="1" style="1" min="2" max="2"/>
    <col width="14" bestFit="1" customWidth="1" style="1" min="3" max="3"/>
    <col width="8" bestFit="1" customWidth="1" style="1" min="4" max="4"/>
    <col width="14" customWidth="1" style="1" min="5" max="6"/>
    <col width="16" customWidth="1" min="6" max="6"/>
    <col width="18" bestFit="1" customWidth="1" style="1" min="7" max="7"/>
    <col width="16" bestFit="1" customWidth="1" style="1" min="8" max="8"/>
    <col width="16" customWidth="1" style="1" min="9" max="9"/>
    <col width="13.6640625" bestFit="1" customWidth="1" style="1" min="10" max="10"/>
    <col width="13.6640625" customWidth="1" style="1" min="11" max="11"/>
    <col width="14.6640625" customWidth="1" style="1" min="12" max="12"/>
    <col width="13.6640625" bestFit="1" customWidth="1" style="1" min="20" max="20"/>
    <col width="13.6640625" customWidth="1" style="1" min="21" max="21"/>
    <col width="14.6640625" customWidth="1" style="1" min="22" max="22"/>
    <col width="8.83203125" customWidth="1" style="1" min="23" max="25"/>
    <col width="26.5" bestFit="1" customWidth="1" style="1" min="26" max="26"/>
    <col width="12.33203125" bestFit="1" customWidth="1" style="1" min="27" max="27"/>
    <col width="8.83203125" customWidth="1" style="1" min="28" max="29"/>
    <col width="16" bestFit="1" customWidth="1" style="1" min="30" max="30"/>
    <col width="12.33203125" bestFit="1" customWidth="1" style="1" min="31" max="31"/>
    <col width="8.83203125" customWidth="1" style="1" min="32" max="16384"/>
  </cols>
  <sheetData>
    <row r="2">
      <c r="B2" s="176" t="inlineStr">
        <is>
          <t>Costing for TMT</t>
        </is>
      </c>
    </row>
    <row r="4">
      <c r="B4" s="177" t="inlineStr">
        <is>
          <t>Steel Costing</t>
        </is>
      </c>
      <c r="C4" s="177" t="inlineStr">
        <is>
          <t>RAIPUR</t>
        </is>
      </c>
      <c r="D4" s="177" t="n"/>
      <c r="E4" s="177" t="n"/>
      <c r="F4" s="177" t="n"/>
      <c r="G4" s="177" t="n"/>
      <c r="H4" s="177" t="n"/>
      <c r="I4" s="177" t="n"/>
      <c r="J4" s="20" t="n"/>
      <c r="K4" s="20" t="n"/>
      <c r="T4" s="20" t="n"/>
      <c r="U4" s="20" t="n"/>
      <c r="Z4" s="149" t="n"/>
      <c r="AA4" s="178" t="n"/>
      <c r="AB4" s="178" t="n"/>
      <c r="AC4" s="178" t="n"/>
      <c r="AD4" s="178" t="n"/>
      <c r="AE4" s="178" t="n"/>
      <c r="AF4" s="179" t="n"/>
    </row>
    <row r="5">
      <c r="B5" s="180" t="inlineStr">
        <is>
          <t>Item</t>
        </is>
      </c>
      <c r="C5" s="180" t="inlineStr">
        <is>
          <t>Consumption</t>
        </is>
      </c>
      <c r="D5" s="180" t="inlineStr">
        <is>
          <t>Unit</t>
        </is>
      </c>
      <c r="E5" s="180" t="inlineStr">
        <is>
          <t>Rate</t>
        </is>
      </c>
      <c r="F5" s="180" t="inlineStr">
        <is>
          <t>Cost</t>
        </is>
      </c>
      <c r="G5" s="180" t="inlineStr">
        <is>
          <t>Recovery amount</t>
        </is>
      </c>
      <c r="H5" s="180" t="inlineStr">
        <is>
          <t>Effective cost</t>
        </is>
      </c>
      <c r="I5" s="180" t="inlineStr">
        <is>
          <t>Total cost</t>
        </is>
      </c>
      <c r="J5" s="149" t="n"/>
      <c r="K5" s="149" t="n"/>
      <c r="L5" s="181" t="n"/>
      <c r="T5" s="149" t="n"/>
      <c r="U5" s="149" t="n"/>
      <c r="V5" s="181" t="n"/>
      <c r="Z5" s="149" t="n"/>
      <c r="AA5" s="149" t="n"/>
      <c r="AB5" s="35" t="n"/>
      <c r="AC5" s="35" t="n"/>
      <c r="AD5" s="149" t="n"/>
      <c r="AE5" s="149" t="n"/>
      <c r="AF5" s="3" t="n"/>
    </row>
    <row r="6">
      <c r="A6" s="182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4" t="n"/>
      <c r="K6" s="4" t="n"/>
      <c r="L6" s="184" t="n"/>
      <c r="T6" s="4" t="n"/>
      <c r="U6" s="4" t="n"/>
      <c r="V6" s="184" t="n"/>
      <c r="Z6" s="5" t="n"/>
      <c r="AA6" s="5" t="n"/>
      <c r="AB6" s="4" t="n"/>
      <c r="AC6" s="4" t="n"/>
      <c r="AD6" s="4" t="n"/>
      <c r="AE6" s="4" t="n"/>
      <c r="AF6" s="4" t="n"/>
    </row>
    <row r="7">
      <c r="A7" s="185" t="n">
        <v>850</v>
      </c>
      <c r="B7" s="186" t="inlineStr">
        <is>
          <t>Pallet DRI</t>
        </is>
      </c>
      <c r="C7" s="187" t="n">
        <v>68</v>
      </c>
      <c r="D7" s="187" t="inlineStr">
        <is>
          <t>%</t>
        </is>
      </c>
      <c r="E7" s="188" t="n">
        <v>26300</v>
      </c>
      <c r="F7" s="189">
        <f>E7*C7/100</f>
        <v/>
      </c>
      <c r="G7" s="190" t="n">
        <v>0.8</v>
      </c>
      <c r="H7" s="189">
        <f>F7/G7</f>
        <v/>
      </c>
      <c r="I7" s="189">
        <f>H7</f>
        <v/>
      </c>
      <c r="J7" s="7" t="n"/>
      <c r="K7" s="7" t="n"/>
      <c r="L7" s="191" t="n"/>
      <c r="T7" s="7" t="n"/>
      <c r="U7" s="7" t="n"/>
      <c r="V7" s="191" t="n"/>
      <c r="W7" s="8" t="n"/>
      <c r="Z7" s="5" t="n"/>
      <c r="AA7" s="5" t="n"/>
      <c r="AB7" s="4" t="n"/>
      <c r="AC7" s="4" t="n"/>
      <c r="AD7" s="6" t="n"/>
      <c r="AE7" s="7" t="n"/>
      <c r="AF7" s="7" t="n"/>
    </row>
    <row r="8">
      <c r="A8" s="192" t="n">
        <v>128</v>
      </c>
      <c r="B8" s="193" t="inlineStr">
        <is>
          <t>Pig Iron</t>
        </is>
      </c>
      <c r="C8" s="194" t="n">
        <v>12</v>
      </c>
      <c r="D8" s="195" t="inlineStr">
        <is>
          <t>%</t>
        </is>
      </c>
      <c r="E8" s="188" t="n">
        <v>37300</v>
      </c>
      <c r="F8" s="196">
        <f>E8*C8/100</f>
        <v/>
      </c>
      <c r="G8" s="197" t="n">
        <v>0.9399999999999999</v>
      </c>
      <c r="H8" s="196">
        <f>F8/G8</f>
        <v/>
      </c>
      <c r="I8" s="196">
        <f>H8</f>
        <v/>
      </c>
      <c r="J8" s="7" t="n"/>
      <c r="K8" s="7" t="n"/>
      <c r="L8" s="191" t="n"/>
      <c r="T8" s="7" t="n"/>
      <c r="U8" s="7" t="n"/>
      <c r="V8" s="191" t="n"/>
      <c r="W8" s="8" t="n"/>
      <c r="Z8" s="5" t="n"/>
      <c r="AA8" s="9" t="n"/>
      <c r="AB8" s="4" t="n"/>
      <c r="AC8" s="4" t="n"/>
      <c r="AD8" s="6" t="n"/>
      <c r="AE8" s="7" t="n"/>
      <c r="AF8" s="7" t="n"/>
    </row>
    <row r="9">
      <c r="A9" s="185" t="n">
        <v>104</v>
      </c>
      <c r="B9" s="186" t="inlineStr">
        <is>
          <t>Scrap</t>
        </is>
      </c>
      <c r="C9" s="187" t="n">
        <v>10</v>
      </c>
      <c r="D9" s="198" t="inlineStr">
        <is>
          <t>%</t>
        </is>
      </c>
      <c r="E9" s="188" t="n">
        <v>34900</v>
      </c>
      <c r="F9" s="189">
        <f>E9*C9/100</f>
        <v/>
      </c>
      <c r="G9" s="190" t="n">
        <v>0.96</v>
      </c>
      <c r="H9" s="189">
        <f>F9/G9</f>
        <v/>
      </c>
      <c r="I9" s="189">
        <f>H9</f>
        <v/>
      </c>
      <c r="J9" s="7" t="n"/>
      <c r="K9" s="7" t="n"/>
      <c r="L9" s="191" t="n"/>
      <c r="T9" s="7" t="n"/>
      <c r="U9" s="7" t="n"/>
      <c r="V9" s="191" t="n"/>
      <c r="W9" s="8" t="n"/>
      <c r="Z9" s="5" t="n"/>
      <c r="AA9" s="9" t="n"/>
      <c r="AB9" s="4" t="n"/>
      <c r="AC9" s="4" t="n"/>
      <c r="AD9" s="6" t="n"/>
      <c r="AE9" s="7" t="n"/>
      <c r="AF9" s="7" t="n"/>
    </row>
    <row r="10">
      <c r="A10" s="199" t="n"/>
      <c r="B10" s="193" t="inlineStr">
        <is>
          <t>Silico Manganese</t>
        </is>
      </c>
      <c r="C10" s="194" t="n">
        <v>14</v>
      </c>
      <c r="D10" s="194" t="inlineStr">
        <is>
          <t>kg</t>
        </is>
      </c>
      <c r="E10" s="188" t="n">
        <v>74.59999999999999</v>
      </c>
      <c r="F10" s="196">
        <f>E10*C10</f>
        <v/>
      </c>
      <c r="G10" s="197" t="n">
        <v>1</v>
      </c>
      <c r="H10" s="196">
        <f>F10/G10</f>
        <v/>
      </c>
      <c r="I10" s="196">
        <f>H10</f>
        <v/>
      </c>
      <c r="J10" s="7" t="n"/>
      <c r="K10" s="7" t="n"/>
      <c r="L10" s="191" t="n"/>
      <c r="T10" s="7" t="n"/>
      <c r="U10" s="7" t="n"/>
      <c r="V10" s="191" t="n"/>
      <c r="W10" s="8" t="n"/>
      <c r="Z10" s="5" t="n"/>
      <c r="AA10" s="5" t="n"/>
      <c r="AB10" s="4" t="n"/>
      <c r="AC10" s="4" t="n"/>
      <c r="AD10" s="6" t="n"/>
      <c r="AE10" s="7" t="n"/>
      <c r="AF10" s="7" t="n"/>
    </row>
    <row r="11">
      <c r="A11" s="185" t="n">
        <v>119</v>
      </c>
      <c r="B11" s="186" t="inlineStr">
        <is>
          <t>Iron Ore DRI</t>
        </is>
      </c>
      <c r="C11" s="187" t="n">
        <v>10</v>
      </c>
      <c r="D11" s="198" t="inlineStr">
        <is>
          <t>%</t>
        </is>
      </c>
      <c r="E11" s="188" t="n">
        <v>30200</v>
      </c>
      <c r="F11" s="189">
        <f>E11*C11/100</f>
        <v/>
      </c>
      <c r="G11" s="190" t="n">
        <v>0.84</v>
      </c>
      <c r="H11" s="189">
        <f>F11/G11</f>
        <v/>
      </c>
      <c r="I11" s="189">
        <f>H11</f>
        <v/>
      </c>
      <c r="J11" s="7" t="n"/>
      <c r="K11" s="7" t="n"/>
      <c r="L11" s="191" t="n"/>
      <c r="T11" s="7" t="n"/>
      <c r="U11" s="7" t="n"/>
      <c r="V11" s="191" t="n"/>
      <c r="W11" s="8" t="n"/>
      <c r="Z11" s="5" t="n"/>
      <c r="AA11" s="9" t="n"/>
      <c r="AB11" s="4" t="n"/>
      <c r="AC11" s="4" t="n"/>
      <c r="AD11" s="6" t="n"/>
      <c r="AE11" s="7" t="n"/>
      <c r="AF11" s="7" t="n"/>
    </row>
    <row r="12">
      <c r="A12" s="199" t="n"/>
      <c r="B12" s="193" t="inlineStr">
        <is>
          <t>Power (incldg ancilliaries)</t>
        </is>
      </c>
      <c r="C12" s="194" t="n">
        <v>700</v>
      </c>
      <c r="D12" s="194" t="n"/>
      <c r="E12" s="188" t="n">
        <v>6.5</v>
      </c>
      <c r="F12" s="196">
        <f>E12*C12</f>
        <v/>
      </c>
      <c r="G12" s="197" t="n"/>
      <c r="H12" s="200" t="n"/>
      <c r="I12" s="196">
        <f>E12*C12</f>
        <v/>
      </c>
      <c r="J12" s="5" t="n"/>
      <c r="K12" s="5" t="n"/>
      <c r="L12" s="191" t="n"/>
      <c r="T12" s="5" t="n"/>
      <c r="U12" s="5" t="n"/>
      <c r="V12" s="191" t="n"/>
      <c r="W12" s="8" t="n"/>
      <c r="Z12" s="5" t="n"/>
      <c r="AA12" s="5" t="n"/>
      <c r="AB12" s="4" t="n"/>
      <c r="AC12" s="4" t="n"/>
      <c r="AD12" s="4" t="n"/>
      <c r="AE12" s="4" t="n"/>
      <c r="AF12" s="5" t="n"/>
    </row>
    <row r="13">
      <c r="A13" s="201" t="n"/>
      <c r="B13" s="186" t="inlineStr">
        <is>
          <t>Stores</t>
        </is>
      </c>
      <c r="C13" s="187" t="n">
        <v>1</v>
      </c>
      <c r="D13" s="187" t="inlineStr">
        <is>
          <t>Rs/T</t>
        </is>
      </c>
      <c r="E13" s="188" t="n">
        <v>500</v>
      </c>
      <c r="F13" s="189">
        <f>E13*C13</f>
        <v/>
      </c>
      <c r="G13" s="190" t="n"/>
      <c r="H13" s="202" t="n"/>
      <c r="I13" s="189" t="n">
        <v>550</v>
      </c>
      <c r="J13" s="5" t="n"/>
      <c r="K13" s="5" t="n"/>
      <c r="L13" s="191" t="n"/>
      <c r="T13" s="5" t="n"/>
      <c r="U13" s="5" t="n"/>
      <c r="V13" s="191" t="n"/>
      <c r="W13" s="8" t="n"/>
      <c r="Z13" s="5" t="n"/>
      <c r="AA13" s="5" t="n"/>
      <c r="AB13" s="4" t="n"/>
      <c r="AC13" s="4" t="n"/>
      <c r="AD13" s="4" t="n"/>
      <c r="AE13" s="4" t="n"/>
      <c r="AF13" s="5" t="n"/>
    </row>
    <row r="14">
      <c r="A14" s="199" t="n"/>
      <c r="B14" s="193" t="inlineStr">
        <is>
          <t>Manpower</t>
        </is>
      </c>
      <c r="C14" s="194" t="n">
        <v>1</v>
      </c>
      <c r="D14" s="194" t="inlineStr">
        <is>
          <t>Rs/T</t>
        </is>
      </c>
      <c r="E14" s="188" t="n">
        <v>550</v>
      </c>
      <c r="F14" s="196">
        <f>E14</f>
        <v/>
      </c>
      <c r="G14" s="197" t="n"/>
      <c r="H14" s="200" t="n"/>
      <c r="I14" s="196" t="n">
        <v>500</v>
      </c>
      <c r="J14" s="5" t="n"/>
      <c r="K14" s="5" t="n"/>
      <c r="L14" s="191" t="n"/>
      <c r="T14" s="5" t="n"/>
      <c r="U14" s="5" t="n"/>
      <c r="V14" s="191" t="n"/>
      <c r="Z14" s="5" t="n"/>
      <c r="AA14" s="5" t="n"/>
      <c r="AB14" s="4" t="n"/>
      <c r="AC14" s="4" t="n"/>
      <c r="AD14" s="4" t="n"/>
      <c r="AE14" s="4" t="n"/>
      <c r="AF14" s="5" t="n"/>
    </row>
    <row r="15">
      <c r="B15" s="203" t="inlineStr">
        <is>
          <t>Billet Cost</t>
        </is>
      </c>
      <c r="C15" s="204" t="n">
        <v>46104</v>
      </c>
      <c r="D15" s="205" t="n"/>
      <c r="E15" s="205" t="n"/>
      <c r="F15" s="205" t="n"/>
      <c r="G15" s="205" t="n"/>
      <c r="H15" s="205" t="n"/>
      <c r="I15" s="206">
        <f>SUM(I7:I14)</f>
        <v/>
      </c>
      <c r="J15" s="12" t="n"/>
      <c r="K15" s="12" t="n"/>
      <c r="L15" s="207" t="n"/>
      <c r="T15" s="12" t="n"/>
      <c r="U15" s="12" t="n"/>
      <c r="V15" s="207" t="n"/>
      <c r="W15" s="22" t="n"/>
      <c r="Z15" s="10" t="n"/>
      <c r="AA15" s="11" t="n"/>
      <c r="AB15" s="11" t="n"/>
      <c r="AC15" s="11" t="n"/>
      <c r="AD15" s="11" t="n"/>
      <c r="AE15" s="11" t="n"/>
      <c r="AF15" s="12" t="n"/>
    </row>
    <row r="16">
      <c r="B16" s="208" t="inlineStr">
        <is>
          <t>Market price of Billet</t>
        </is>
      </c>
      <c r="C16" s="209" t="n"/>
      <c r="D16" s="209" t="n"/>
      <c r="E16" s="209" t="n"/>
      <c r="F16" s="209" t="n"/>
      <c r="G16" s="209" t="n"/>
      <c r="H16" s="209" t="n"/>
      <c r="I16" s="188" t="n">
        <v>41550</v>
      </c>
      <c r="J16" s="15" t="n"/>
      <c r="K16" s="15" t="n"/>
      <c r="L16" s="210" t="n"/>
      <c r="T16" s="15" t="n"/>
      <c r="U16" s="15" t="n"/>
      <c r="V16" s="210" t="n"/>
      <c r="W16" s="22" t="n"/>
      <c r="Z16" s="13" t="n"/>
      <c r="AA16" s="14" t="n"/>
      <c r="AB16" s="14" t="n"/>
      <c r="AC16" s="14" t="n"/>
      <c r="AD16" s="14" t="n"/>
      <c r="AE16" s="14" t="n"/>
      <c r="AF16" s="15" t="n"/>
    </row>
    <row r="17">
      <c r="B17" s="203" t="inlineStr">
        <is>
          <t>Nett Margin</t>
        </is>
      </c>
      <c r="C17" s="205" t="n"/>
      <c r="D17" s="205" t="n"/>
      <c r="E17" s="205" t="n"/>
      <c r="F17" s="205" t="n"/>
      <c r="G17" s="205" t="n"/>
      <c r="H17" s="205" t="n"/>
      <c r="I17" s="206">
        <f>I16-I15</f>
        <v/>
      </c>
      <c r="J17" s="18" t="n"/>
      <c r="K17" s="18" t="n"/>
      <c r="L17" s="211" t="n"/>
      <c r="T17" s="18" t="n"/>
      <c r="U17" s="18" t="n"/>
      <c r="V17" s="211" t="n"/>
      <c r="W17" s="22" t="n"/>
      <c r="Z17" s="16" t="n"/>
      <c r="AA17" s="17" t="n"/>
      <c r="AB17" s="17" t="n"/>
      <c r="AC17" s="17" t="n"/>
      <c r="AD17" s="17" t="n"/>
      <c r="AE17" s="17" t="n"/>
      <c r="AF17" s="18" t="n"/>
    </row>
    <row r="18">
      <c r="B18" s="2" t="n"/>
      <c r="C18" s="2" t="n"/>
      <c r="D18" s="2" t="n"/>
      <c r="E18" s="2" t="n"/>
      <c r="F18" s="2" t="n"/>
      <c r="G18" s="2" t="n"/>
      <c r="H18" s="2" t="n"/>
      <c r="I18" s="19" t="n"/>
      <c r="J18" s="19" t="n"/>
      <c r="K18" s="19" t="n"/>
      <c r="L18" s="212" t="n"/>
      <c r="T18" s="19" t="n"/>
      <c r="U18" s="19" t="n"/>
      <c r="V18" s="212" t="n"/>
      <c r="Z18" s="2" t="n"/>
      <c r="AA18" s="2" t="n"/>
      <c r="AB18" s="2" t="n"/>
      <c r="AC18" s="2" t="n"/>
      <c r="AD18" s="2" t="n"/>
      <c r="AE18" s="2" t="n"/>
      <c r="AF18" s="19" t="n"/>
    </row>
    <row r="19">
      <c r="B19" s="213" t="inlineStr">
        <is>
          <t>Rolling Mill Cost</t>
        </is>
      </c>
      <c r="C19" s="213" t="inlineStr">
        <is>
          <t>Hot charging (own billet - direct rolling )</t>
        </is>
      </c>
      <c r="D19" s="213" t="n"/>
      <c r="E19" s="213" t="n"/>
      <c r="F19" s="213" t="n"/>
      <c r="G19" s="139" t="n"/>
      <c r="H19" s="139" t="n"/>
      <c r="I19" s="139" t="n"/>
      <c r="J19" s="133" t="n"/>
      <c r="K19" s="127" t="n"/>
      <c r="L19" s="214" t="n"/>
      <c r="T19" s="133" t="n"/>
      <c r="U19" s="127" t="n"/>
      <c r="V19" s="127" t="n"/>
      <c r="W19" s="127" t="n"/>
      <c r="X19" s="127" t="n"/>
      <c r="Z19" s="148" t="n"/>
      <c r="AA19" s="148" t="n"/>
      <c r="AB19" s="178" t="n"/>
      <c r="AC19" s="178" t="n"/>
      <c r="AD19" s="179" t="n"/>
      <c r="AE19" s="148" t="n"/>
      <c r="AF19" s="178" t="n"/>
      <c r="AG19" s="178" t="n"/>
      <c r="AH19" s="179" t="n"/>
    </row>
    <row r="20">
      <c r="B20" s="180" t="inlineStr">
        <is>
          <t>Item</t>
        </is>
      </c>
      <c r="C20" s="180" t="inlineStr">
        <is>
          <t>Consumption</t>
        </is>
      </c>
      <c r="D20" s="180" t="inlineStr">
        <is>
          <t>Unit</t>
        </is>
      </c>
      <c r="E20" s="180" t="inlineStr">
        <is>
          <t>Rate</t>
        </is>
      </c>
      <c r="F20" s="180" t="inlineStr">
        <is>
          <t>Cost</t>
        </is>
      </c>
      <c r="G20" s="141" t="n"/>
      <c r="H20" s="141" t="n"/>
      <c r="I20" s="141" t="n"/>
      <c r="J20" s="134" t="n"/>
      <c r="K20" s="150" t="n"/>
      <c r="L20" s="215" t="n"/>
      <c r="T20" s="134" t="n"/>
      <c r="U20" s="150" t="n"/>
      <c r="V20" s="215" t="n"/>
      <c r="W20" s="148" t="n"/>
      <c r="X20" s="148" t="n"/>
      <c r="Z20" s="148" t="n"/>
      <c r="AA20" s="148" t="n"/>
      <c r="AB20" s="148" t="n"/>
      <c r="AC20" s="148" t="n"/>
      <c r="AD20" s="148" t="n"/>
      <c r="AE20" s="148" t="n"/>
      <c r="AF20" s="148" t="n"/>
      <c r="AG20" s="148" t="n"/>
      <c r="AH20" s="148" t="n"/>
    </row>
    <row r="21">
      <c r="B21" s="186" t="inlineStr">
        <is>
          <t>Cost of Billet</t>
        </is>
      </c>
      <c r="C21" s="202" t="n"/>
      <c r="D21" s="202" t="n"/>
      <c r="E21" s="202" t="n"/>
      <c r="F21" s="189">
        <f>I15</f>
        <v/>
      </c>
      <c r="G21" s="141" t="n"/>
      <c r="H21" s="141" t="n"/>
      <c r="I21" s="141" t="n"/>
      <c r="J21" s="135" t="n"/>
      <c r="K21" s="120" t="n"/>
      <c r="L21" s="215" t="n"/>
      <c r="T21" s="135" t="n"/>
      <c r="U21" s="120" t="n"/>
      <c r="V21" s="215" t="n"/>
      <c r="W21" s="149" t="n"/>
      <c r="X21" s="149" t="n"/>
      <c r="Z21" s="149" t="n"/>
      <c r="AA21" s="149" t="n"/>
      <c r="AB21" s="149" t="n"/>
      <c r="AC21" s="149" t="n"/>
      <c r="AD21" s="149" t="n"/>
      <c r="AE21" s="149" t="n"/>
      <c r="AF21" s="149" t="n"/>
      <c r="AG21" s="149" t="n"/>
      <c r="AH21" s="149" t="n"/>
    </row>
    <row r="22">
      <c r="B22" s="193" t="inlineStr">
        <is>
          <t>Scale loss</t>
        </is>
      </c>
      <c r="C22" s="200" t="n">
        <v>0.8</v>
      </c>
      <c r="D22" s="200" t="inlineStr">
        <is>
          <t>%</t>
        </is>
      </c>
      <c r="E22" s="196">
        <f>I15</f>
        <v/>
      </c>
      <c r="F22" s="196">
        <f>E22*C22/100</f>
        <v/>
      </c>
      <c r="G22" s="140" t="n"/>
      <c r="H22" s="140" t="n"/>
      <c r="I22" s="142" t="n"/>
      <c r="J22" s="136" t="n"/>
      <c r="K22" s="119" t="n"/>
      <c r="L22" s="216" t="n"/>
      <c r="T22" s="135" t="n"/>
      <c r="U22" s="120" t="n"/>
      <c r="V22" s="215" t="n"/>
      <c r="W22" s="7" t="n"/>
      <c r="X22" s="7" t="n"/>
      <c r="Z22" s="36" t="n"/>
      <c r="AA22" s="5" t="n"/>
      <c r="AB22" s="5" t="n"/>
      <c r="AC22" s="7" t="n"/>
      <c r="AD22" s="7" t="n"/>
      <c r="AE22" s="5" t="n"/>
      <c r="AF22" s="5" t="n"/>
      <c r="AG22" s="7" t="n"/>
      <c r="AH22" s="7" t="n"/>
    </row>
    <row r="23">
      <c r="B23" s="186" t="inlineStr">
        <is>
          <t>Power</t>
        </is>
      </c>
      <c r="C23" s="202" t="n">
        <v>120</v>
      </c>
      <c r="D23" s="202" t="inlineStr">
        <is>
          <t>unit</t>
        </is>
      </c>
      <c r="E23" s="189" t="n">
        <v>6.5</v>
      </c>
      <c r="F23" s="189">
        <f>E23*C23</f>
        <v/>
      </c>
      <c r="G23" s="140" t="n"/>
      <c r="H23" s="140" t="n"/>
      <c r="I23" s="140" t="n"/>
      <c r="J23" s="136" t="n"/>
      <c r="K23" s="119" t="n"/>
      <c r="L23" s="216" t="n"/>
      <c r="T23" s="135" t="n"/>
      <c r="U23" s="120" t="n"/>
      <c r="V23" s="215" t="n"/>
      <c r="W23" s="5" t="n"/>
      <c r="X23" s="7" t="n"/>
      <c r="Z23" s="36" t="n"/>
      <c r="AA23" s="5" t="n"/>
      <c r="AB23" s="5" t="n"/>
      <c r="AC23" s="5" t="n"/>
      <c r="AD23" s="7" t="n"/>
      <c r="AE23" s="5" t="n"/>
      <c r="AF23" s="5" t="n"/>
      <c r="AG23" s="5" t="n"/>
      <c r="AH23" s="7" t="n"/>
    </row>
    <row r="24">
      <c r="B24" s="193" t="inlineStr">
        <is>
          <t>Stores</t>
        </is>
      </c>
      <c r="C24" s="200" t="n">
        <v>1</v>
      </c>
      <c r="D24" s="200" t="inlineStr">
        <is>
          <t>Rs/T</t>
        </is>
      </c>
      <c r="E24" s="196" t="n">
        <v>400</v>
      </c>
      <c r="F24" s="196">
        <f>E24*C24</f>
        <v/>
      </c>
      <c r="G24" s="140" t="n"/>
      <c r="H24" s="140" t="n"/>
      <c r="I24" s="140" t="n"/>
      <c r="J24" s="137" t="n"/>
      <c r="K24" s="117" t="n"/>
      <c r="L24" s="216" t="n"/>
      <c r="T24" s="135" t="n"/>
      <c r="U24" s="120" t="n"/>
      <c r="V24" s="215" t="n"/>
      <c r="W24" s="5" t="n"/>
      <c r="X24" s="5" t="n"/>
      <c r="Z24" s="36" t="n"/>
      <c r="AA24" s="5" t="n"/>
      <c r="AB24" s="5" t="n"/>
      <c r="AC24" s="5" t="n"/>
      <c r="AD24" s="5" t="n"/>
      <c r="AE24" s="5" t="n"/>
      <c r="AF24" s="5" t="n"/>
      <c r="AG24" s="5" t="n"/>
      <c r="AH24" s="5" t="n"/>
    </row>
    <row r="25">
      <c r="B25" s="186" t="inlineStr">
        <is>
          <t>Manpower</t>
        </is>
      </c>
      <c r="C25" s="202" t="n">
        <v>1</v>
      </c>
      <c r="D25" s="202" t="inlineStr">
        <is>
          <t>Rs/T</t>
        </is>
      </c>
      <c r="E25" s="189" t="n">
        <v>700</v>
      </c>
      <c r="F25" s="189">
        <f>E25*C25</f>
        <v/>
      </c>
      <c r="G25" s="140" t="n"/>
      <c r="H25" s="140" t="n"/>
      <c r="I25" s="140" t="n"/>
      <c r="J25" s="137" t="n"/>
      <c r="K25" s="117" t="n"/>
      <c r="L25" s="216" t="n"/>
      <c r="T25" s="135" t="n"/>
      <c r="U25" s="120" t="n"/>
      <c r="V25" s="215" t="n"/>
      <c r="W25" s="5" t="n"/>
      <c r="X25" s="5" t="n"/>
      <c r="Z25" s="36" t="n"/>
      <c r="AA25" s="5" t="n"/>
      <c r="AB25" s="5" t="n"/>
      <c r="AC25" s="5" t="n"/>
      <c r="AD25" s="5" t="n"/>
      <c r="AE25" s="5" t="n"/>
      <c r="AF25" s="5" t="n"/>
      <c r="AG25" s="5" t="n"/>
      <c r="AH25" s="5" t="n"/>
    </row>
    <row r="26">
      <c r="B26" s="193" t="inlineStr">
        <is>
          <t>Fuel cost</t>
        </is>
      </c>
      <c r="C26" s="200" t="n">
        <v>0</v>
      </c>
      <c r="D26" s="200" t="inlineStr">
        <is>
          <t>scm/t</t>
        </is>
      </c>
      <c r="E26" s="196" t="n">
        <v>47</v>
      </c>
      <c r="F26" s="196">
        <f>E26*C26</f>
        <v/>
      </c>
      <c r="G26" s="140" t="n"/>
      <c r="H26" s="140" t="n"/>
      <c r="I26" s="140" t="n"/>
      <c r="J26" s="137" t="n"/>
      <c r="K26" s="117" t="n"/>
      <c r="L26" s="216" t="n"/>
      <c r="T26" s="135" t="n"/>
      <c r="U26" s="120" t="n"/>
      <c r="V26" s="215" t="n"/>
      <c r="W26" s="5" t="n"/>
      <c r="X26" s="5" t="n"/>
      <c r="Z26" s="36" t="n"/>
      <c r="AA26" s="5" t="n"/>
      <c r="AB26" s="5" t="n"/>
      <c r="AC26" s="5" t="n"/>
      <c r="AD26" s="5" t="n"/>
      <c r="AE26" s="5" t="n"/>
      <c r="AF26" s="5" t="n"/>
      <c r="AG26" s="5" t="n"/>
      <c r="AH26" s="5" t="n"/>
    </row>
    <row r="27">
      <c r="B27" s="186" t="inlineStr">
        <is>
          <t>Cutting loss</t>
        </is>
      </c>
      <c r="C27" s="202" t="n">
        <v>0</v>
      </c>
      <c r="D27" s="202" t="inlineStr">
        <is>
          <t>%</t>
        </is>
      </c>
      <c r="E27" s="189">
        <f>SUM(F21:F26)</f>
        <v/>
      </c>
      <c r="F27" s="189">
        <f>E27*C27/100</f>
        <v/>
      </c>
      <c r="G27" s="140" t="n"/>
      <c r="H27" s="140" t="n"/>
      <c r="I27" s="142" t="n"/>
      <c r="J27" s="136" t="n"/>
      <c r="K27" s="119" t="n"/>
      <c r="L27" s="216" t="n"/>
      <c r="T27" s="135" t="n"/>
      <c r="U27" s="120" t="n"/>
      <c r="V27" s="215" t="n"/>
      <c r="W27" s="7" t="n"/>
      <c r="X27" s="7" t="n"/>
      <c r="Z27" s="36" t="n"/>
      <c r="AA27" s="5" t="n"/>
      <c r="AB27" s="5" t="n"/>
      <c r="AC27" s="7" t="n"/>
      <c r="AD27" s="7" t="n"/>
      <c r="AE27" s="5" t="n"/>
      <c r="AF27" s="5" t="n"/>
      <c r="AG27" s="7" t="n"/>
      <c r="AH27" s="7" t="n"/>
    </row>
    <row r="28">
      <c r="B28" s="217" t="inlineStr">
        <is>
          <t>Rolling cost</t>
        </is>
      </c>
      <c r="C28" s="218" t="n"/>
      <c r="D28" s="218" t="n"/>
      <c r="E28" s="218" t="n"/>
      <c r="F28" s="219">
        <f>SUM(F22:F27)</f>
        <v/>
      </c>
      <c r="G28" s="140" t="n"/>
      <c r="H28" s="140" t="n"/>
      <c r="I28" s="140" t="n"/>
      <c r="J28" s="135" t="n"/>
      <c r="K28" s="120" t="n"/>
      <c r="L28" s="215" t="n"/>
      <c r="T28" s="135" t="n"/>
      <c r="U28" s="120" t="n"/>
      <c r="V28" s="215" t="n"/>
      <c r="W28" s="27" t="n"/>
      <c r="X28" s="28" t="n"/>
      <c r="Z28" s="37" t="n"/>
      <c r="AA28" s="27" t="n"/>
      <c r="AB28" s="27" t="n"/>
      <c r="AC28" s="27" t="n"/>
      <c r="AD28" s="28" t="n"/>
      <c r="AE28" s="27" t="n"/>
      <c r="AF28" s="27" t="n"/>
      <c r="AG28" s="27" t="n"/>
      <c r="AH28" s="28" t="n"/>
    </row>
    <row r="29">
      <c r="B29" s="186" t="inlineStr">
        <is>
          <t>Yield loss</t>
        </is>
      </c>
      <c r="C29" s="202" t="n">
        <v>4.5</v>
      </c>
      <c r="D29" s="202" t="inlineStr">
        <is>
          <t>%</t>
        </is>
      </c>
      <c r="E29" s="189">
        <f>SUM(F21:F27)</f>
        <v/>
      </c>
      <c r="F29" s="189">
        <f>E29*C29/100</f>
        <v/>
      </c>
      <c r="G29" s="140" t="n"/>
      <c r="H29" s="140" t="n"/>
      <c r="I29" s="142" t="n"/>
      <c r="J29" s="136" t="n"/>
      <c r="K29" s="119" t="n"/>
      <c r="L29" s="216" t="n"/>
      <c r="T29" s="135" t="n"/>
      <c r="U29" s="120" t="n"/>
      <c r="V29" s="215" t="n"/>
      <c r="W29" s="7" t="n"/>
      <c r="X29" s="7" t="n"/>
      <c r="Z29" s="36" t="n"/>
      <c r="AA29" s="5" t="n"/>
      <c r="AB29" s="5" t="n"/>
      <c r="AC29" s="7" t="n"/>
      <c r="AD29" s="7" t="n"/>
      <c r="AE29" s="5" t="n"/>
      <c r="AF29" s="5" t="n"/>
      <c r="AG29" s="7" t="n"/>
      <c r="AH29" s="7" t="n"/>
    </row>
    <row r="30">
      <c r="B30" s="193" t="inlineStr">
        <is>
          <t>Add back cost of scrap</t>
        </is>
      </c>
      <c r="C30" s="200" t="n">
        <v>-25</v>
      </c>
      <c r="D30" s="200" t="inlineStr">
        <is>
          <t>kg</t>
        </is>
      </c>
      <c r="E30" s="196" t="n">
        <v>36</v>
      </c>
      <c r="F30" s="196">
        <f>E30*C30</f>
        <v/>
      </c>
      <c r="G30" s="140" t="n"/>
      <c r="H30" s="140" t="n"/>
      <c r="I30" s="142" t="n"/>
      <c r="J30" s="137" t="n"/>
      <c r="K30" s="117" t="n"/>
      <c r="L30" s="216" t="n"/>
      <c r="T30" s="135" t="n"/>
      <c r="U30" s="120" t="n"/>
      <c r="V30" s="215" t="n"/>
      <c r="W30" s="7" t="n"/>
      <c r="X30" s="5" t="n"/>
      <c r="Z30" s="36" t="n"/>
      <c r="AA30" s="5" t="n"/>
      <c r="AB30" s="5" t="n"/>
      <c r="AC30" s="7" t="n"/>
      <c r="AD30" s="5" t="n"/>
      <c r="AE30" s="5" t="n"/>
      <c r="AF30" s="5" t="n"/>
      <c r="AG30" s="7" t="n"/>
      <c r="AH30" s="5" t="n"/>
    </row>
    <row r="31">
      <c r="B31" s="186" t="inlineStr">
        <is>
          <t>Short length realiz</t>
        </is>
      </c>
      <c r="C31" s="202" t="n">
        <v>-20</v>
      </c>
      <c r="D31" s="202" t="inlineStr">
        <is>
          <t>kg</t>
        </is>
      </c>
      <c r="E31" s="189" t="n">
        <v>43</v>
      </c>
      <c r="F31" s="189">
        <f>E31*C31</f>
        <v/>
      </c>
      <c r="G31" s="140" t="n"/>
      <c r="H31" s="140" t="n"/>
      <c r="I31" s="142" t="n"/>
      <c r="J31" s="137" t="n"/>
      <c r="K31" s="117" t="n"/>
      <c r="L31" s="216" t="n"/>
      <c r="T31" s="135" t="n"/>
      <c r="U31" s="120" t="n"/>
      <c r="V31" s="215" t="n"/>
      <c r="W31" s="7" t="n"/>
      <c r="X31" s="5" t="n"/>
      <c r="Z31" s="36" t="n"/>
      <c r="AA31" s="5" t="n"/>
      <c r="AB31" s="5" t="n"/>
      <c r="AC31" s="7" t="n"/>
      <c r="AD31" s="5" t="n"/>
      <c r="AE31" s="5" t="n"/>
      <c r="AF31" s="5" t="n"/>
      <c r="AG31" s="7" t="n"/>
      <c r="AH31" s="5" t="n"/>
    </row>
    <row r="32">
      <c r="B32" s="193" t="inlineStr">
        <is>
          <t>Interest + Depreciation</t>
        </is>
      </c>
      <c r="C32" s="200" t="inlineStr">
        <is>
          <t>LS</t>
        </is>
      </c>
      <c r="D32" s="200" t="inlineStr">
        <is>
          <t>Rs/T</t>
        </is>
      </c>
      <c r="E32" s="196" t="n">
        <v>500</v>
      </c>
      <c r="F32" s="196" t="n">
        <v>500</v>
      </c>
      <c r="G32" s="140" t="n"/>
      <c r="H32" s="140" t="n"/>
      <c r="I32" s="140" t="n"/>
      <c r="J32" s="135" t="n"/>
      <c r="K32" s="120" t="n"/>
      <c r="L32" s="215" t="n"/>
      <c r="T32" s="135" t="n"/>
      <c r="U32" s="120" t="n"/>
      <c r="V32" s="215" t="n"/>
      <c r="W32" s="29" t="n"/>
      <c r="X32" s="30" t="n"/>
      <c r="Z32" s="38" t="n"/>
      <c r="AA32" s="29" t="n"/>
      <c r="AB32" s="29" t="n"/>
      <c r="AC32" s="29" t="n"/>
      <c r="AD32" s="30" t="n"/>
      <c r="AE32" s="29" t="n"/>
      <c r="AF32" s="29" t="n"/>
      <c r="AG32" s="29" t="n"/>
      <c r="AH32" s="30" t="n"/>
    </row>
    <row r="33">
      <c r="B33" s="203" t="inlineStr">
        <is>
          <t>Total cost</t>
        </is>
      </c>
      <c r="C33" s="205" t="n"/>
      <c r="D33" s="205" t="n"/>
      <c r="E33" s="205" t="n"/>
      <c r="F33" s="206">
        <f>F28+I15+F32</f>
        <v/>
      </c>
      <c r="G33" s="140" t="n"/>
      <c r="H33" s="140" t="n"/>
      <c r="I33" s="140" t="n"/>
      <c r="J33" s="135" t="n"/>
      <c r="K33" s="120" t="n"/>
      <c r="L33" s="215" t="n"/>
      <c r="T33" s="135" t="n"/>
      <c r="U33" s="120" t="n"/>
      <c r="V33" s="215" t="n"/>
      <c r="W33" s="31" t="n"/>
      <c r="X33" s="32" t="n"/>
      <c r="Z33" s="39" t="n"/>
      <c r="AA33" s="31" t="n"/>
      <c r="AB33" s="31" t="n"/>
      <c r="AC33" s="31" t="n"/>
      <c r="AD33" s="32" t="n"/>
      <c r="AE33" s="31" t="n"/>
      <c r="AF33" s="31" t="n"/>
      <c r="AG33" s="31" t="n"/>
      <c r="AH33" s="32" t="n"/>
    </row>
    <row r="34">
      <c r="B34" s="208" t="inlineStr">
        <is>
          <t>Market price for TMT</t>
        </is>
      </c>
      <c r="C34" s="209" t="n"/>
      <c r="D34" s="209" t="n"/>
      <c r="E34" s="209" t="n"/>
      <c r="F34" s="188" t="n">
        <v>46200</v>
      </c>
      <c r="G34" s="140" t="n"/>
      <c r="H34" s="140" t="n"/>
      <c r="I34" s="140" t="n"/>
      <c r="J34" s="134" t="n"/>
      <c r="K34" s="150" t="n"/>
      <c r="L34" s="215" t="n"/>
      <c r="T34" s="135" t="n"/>
      <c r="U34" s="120" t="n"/>
      <c r="V34" s="215" t="n"/>
      <c r="W34" s="5" t="n"/>
      <c r="X34" s="149" t="n"/>
      <c r="Z34" s="36" t="n"/>
      <c r="AA34" s="5" t="n"/>
      <c r="AB34" s="5" t="n"/>
      <c r="AC34" s="5" t="n"/>
      <c r="AD34" s="149" t="n"/>
      <c r="AE34" s="5" t="n"/>
      <c r="AF34" s="5" t="n"/>
      <c r="AG34" s="5" t="n"/>
      <c r="AH34" s="149" t="n"/>
    </row>
    <row r="35">
      <c r="B35" s="203" t="inlineStr">
        <is>
          <t>Margin for mfr</t>
        </is>
      </c>
      <c r="C35" s="205" t="n"/>
      <c r="D35" s="205" t="n"/>
      <c r="E35" s="205" t="n"/>
      <c r="F35" s="206">
        <f>F34-F33</f>
        <v/>
      </c>
      <c r="G35" s="143" t="n"/>
      <c r="H35" s="143" t="n"/>
      <c r="I35" s="143" t="n"/>
      <c r="J35" s="138" t="n"/>
      <c r="K35" s="123" t="n"/>
      <c r="L35" s="220" t="n"/>
      <c r="T35" s="135" t="n"/>
      <c r="U35" s="120" t="n"/>
      <c r="V35" s="215" t="n"/>
      <c r="W35" s="33" t="n"/>
      <c r="X35" s="34" t="n"/>
      <c r="Z35" s="40" t="n"/>
      <c r="AA35" s="33" t="n"/>
      <c r="AB35" s="33" t="n"/>
      <c r="AC35" s="33" t="n"/>
      <c r="AD35" s="34" t="n"/>
      <c r="AE35" s="33" t="n"/>
      <c r="AF35" s="33" t="n"/>
      <c r="AG35" s="33" t="n"/>
      <c r="AH35" s="34" t="n"/>
    </row>
    <row r="37">
      <c r="F37" s="22" t="n"/>
    </row>
    <row r="38">
      <c r="F38" s="22" t="n"/>
    </row>
    <row r="39">
      <c r="F39" s="22" t="n"/>
    </row>
  </sheetData>
  <mergeCells count="5">
    <mergeCell ref="Z4:AF4"/>
    <mergeCell ref="C4:I4"/>
    <mergeCell ref="C19:F19"/>
    <mergeCell ref="AA19:AD19"/>
    <mergeCell ref="AE19:AH19"/>
  </mergeCells>
  <pageMargins left="0.7" right="0.7" top="0.75" bottom="0.75" header="0.3" footer="0.3"/>
  <pageSetup orientation="landscape" paperSize="9" scale="36" fitToHeight="0" fitToWidth="1" verticalDpi="0"/>
  <colBreaks count="1" manualBreakCount="1">
    <brk id="25" min="0" max="54" man="1"/>
  </col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H39"/>
  <sheetViews>
    <sheetView tabSelected="1" workbookViewId="0">
      <pane ySplit="5" topLeftCell="A6" activePane="bottomLeft" state="frozen"/>
      <selection pane="bottomLeft" activeCell="B17" sqref="B17"/>
    </sheetView>
  </sheetViews>
  <sheetFormatPr baseColWidth="10" defaultRowHeight="15"/>
  <cols>
    <col width="28" customWidth="1" style="1" min="1" max="1"/>
    <col width="16" bestFit="1" customWidth="1" style="1" min="2" max="2"/>
    <col width="14" bestFit="1" customWidth="1" style="1" min="3" max="3"/>
    <col width="14" customWidth="1" style="1" min="4" max="4"/>
    <col width="14" bestFit="1" customWidth="1" style="1" min="5" max="5"/>
    <col width="18" bestFit="1" customWidth="1" style="1" min="6" max="6"/>
    <col width="16" customWidth="1" style="1" min="7" max="7"/>
    <col width="16" bestFit="1" customWidth="1" style="1" min="8" max="8"/>
  </cols>
  <sheetData>
    <row r="2">
      <c r="A2" s="176" t="inlineStr">
        <is>
          <t>Costing for TMT</t>
        </is>
      </c>
    </row>
    <row r="4">
      <c r="A4" s="177" t="inlineStr">
        <is>
          <t>Steel Costing</t>
        </is>
      </c>
      <c r="B4" s="177" t="inlineStr">
        <is>
          <t>NCR</t>
        </is>
      </c>
      <c r="C4" s="177" t="n"/>
      <c r="D4" s="177" t="n"/>
      <c r="E4" s="177" t="n"/>
      <c r="F4" s="177" t="n"/>
      <c r="G4" s="177" t="n"/>
      <c r="H4" s="177" t="n"/>
    </row>
    <row r="5">
      <c r="A5" s="180" t="inlineStr">
        <is>
          <t>Item</t>
        </is>
      </c>
      <c r="B5" s="180" t="inlineStr">
        <is>
          <t>Consumption</t>
        </is>
      </c>
      <c r="C5" s="180" t="inlineStr">
        <is>
          <t>Unit</t>
        </is>
      </c>
      <c r="D5" s="180" t="inlineStr">
        <is>
          <t>Rate</t>
        </is>
      </c>
      <c r="E5" s="180" t="inlineStr">
        <is>
          <t>Cost</t>
        </is>
      </c>
      <c r="F5" s="180" t="inlineStr">
        <is>
          <t>Recovery amount</t>
        </is>
      </c>
      <c r="G5" s="180" t="inlineStr">
        <is>
          <t>Effective cost</t>
        </is>
      </c>
      <c r="H5" s="180" t="inlineStr">
        <is>
          <t>Total cost</t>
        </is>
      </c>
    </row>
    <row r="6">
      <c r="A6" s="183" t="n"/>
      <c r="B6" s="221" t="n"/>
      <c r="C6" s="221" t="n"/>
      <c r="D6" s="183" t="n"/>
      <c r="E6" s="183" t="n"/>
      <c r="F6" s="183" t="n"/>
      <c r="G6" s="183" t="n"/>
      <c r="H6" s="183" t="n"/>
    </row>
    <row r="7">
      <c r="A7" s="186" t="inlineStr">
        <is>
          <t>Pallet DRI</t>
        </is>
      </c>
      <c r="B7" s="187" t="n">
        <v>38</v>
      </c>
      <c r="C7" s="187" t="inlineStr">
        <is>
          <t>%</t>
        </is>
      </c>
      <c r="D7" s="189">
        <f>Raipur!E7+3100</f>
        <v/>
      </c>
      <c r="E7" s="189">
        <f>D7*B7/100</f>
        <v/>
      </c>
      <c r="F7" s="190" t="n">
        <v>0.79</v>
      </c>
      <c r="G7" s="189">
        <f>E7/F7</f>
        <v/>
      </c>
      <c r="H7" s="189">
        <f>G7</f>
        <v/>
      </c>
    </row>
    <row r="8">
      <c r="A8" s="193" t="inlineStr">
        <is>
          <t>Pig Iron</t>
        </is>
      </c>
      <c r="B8" s="194" t="n">
        <v>12</v>
      </c>
      <c r="C8" s="195" t="inlineStr">
        <is>
          <t>%</t>
        </is>
      </c>
      <c r="D8" s="196">
        <f>Raipur!E8+3100</f>
        <v/>
      </c>
      <c r="E8" s="196">
        <f>D8*B8/100</f>
        <v/>
      </c>
      <c r="F8" s="197" t="n">
        <v>0.9399999999999999</v>
      </c>
      <c r="G8" s="196">
        <f>E8/F8</f>
        <v/>
      </c>
      <c r="H8" s="196">
        <f>G8</f>
        <v/>
      </c>
    </row>
    <row r="9">
      <c r="A9" s="186" t="inlineStr">
        <is>
          <t>Scrap</t>
        </is>
      </c>
      <c r="B9" s="187" t="n">
        <v>50</v>
      </c>
      <c r="C9" s="198" t="inlineStr">
        <is>
          <t>%</t>
        </is>
      </c>
      <c r="D9" s="188">
        <f>35500-500</f>
        <v/>
      </c>
      <c r="E9" s="189">
        <f>D9*B9/100</f>
        <v/>
      </c>
      <c r="F9" s="190" t="n">
        <v>0.96</v>
      </c>
      <c r="G9" s="189">
        <f>E9/F9</f>
        <v/>
      </c>
      <c r="H9" s="189">
        <f>G9</f>
        <v/>
      </c>
    </row>
    <row r="10">
      <c r="A10" s="193" t="inlineStr">
        <is>
          <t>Silico Manganese</t>
        </is>
      </c>
      <c r="B10" s="194" t="n">
        <v>14</v>
      </c>
      <c r="C10" s="194" t="inlineStr">
        <is>
          <t>kg</t>
        </is>
      </c>
      <c r="D10" s="196">
        <f>Raipur!E10</f>
        <v/>
      </c>
      <c r="E10" s="196">
        <f>D10*B10</f>
        <v/>
      </c>
      <c r="F10" s="197" t="n">
        <v>1</v>
      </c>
      <c r="G10" s="196">
        <f>E10/F10</f>
        <v/>
      </c>
      <c r="H10" s="196">
        <f>G10</f>
        <v/>
      </c>
    </row>
    <row r="11">
      <c r="A11" s="186" t="inlineStr">
        <is>
          <t>Iron Ore DRI</t>
        </is>
      </c>
      <c r="B11" s="187" t="n">
        <v>0</v>
      </c>
      <c r="C11" s="198" t="inlineStr">
        <is>
          <t>%</t>
        </is>
      </c>
      <c r="D11" s="189">
        <f>Raipur!E11+3100</f>
        <v/>
      </c>
      <c r="E11" s="189">
        <f>D11*B11/100</f>
        <v/>
      </c>
      <c r="F11" s="190" t="n">
        <v>0.83</v>
      </c>
      <c r="G11" s="189">
        <f>E11/F11</f>
        <v/>
      </c>
      <c r="H11" s="189">
        <f>G11</f>
        <v/>
      </c>
    </row>
    <row r="12">
      <c r="A12" s="193" t="inlineStr">
        <is>
          <t>Power (incldg ancilliaries)</t>
        </is>
      </c>
      <c r="B12" s="194" t="n">
        <v>650</v>
      </c>
      <c r="C12" s="194" t="n"/>
      <c r="D12" s="196" t="n">
        <v>6.5</v>
      </c>
      <c r="E12" s="196">
        <f>D12*B12</f>
        <v/>
      </c>
      <c r="F12" s="197" t="n"/>
      <c r="G12" s="200" t="n"/>
      <c r="H12" s="196">
        <f>D12*B12</f>
        <v/>
      </c>
    </row>
    <row r="13">
      <c r="A13" s="186" t="inlineStr">
        <is>
          <t>Stores</t>
        </is>
      </c>
      <c r="B13" s="187" t="n">
        <v>1</v>
      </c>
      <c r="C13" s="187" t="inlineStr">
        <is>
          <t>LS</t>
        </is>
      </c>
      <c r="D13" s="189" t="n">
        <v>500</v>
      </c>
      <c r="E13" s="189">
        <f>D13*B13</f>
        <v/>
      </c>
      <c r="F13" s="190" t="n"/>
      <c r="G13" s="202" t="n"/>
      <c r="H13" s="189">
        <f>D13*B13</f>
        <v/>
      </c>
    </row>
    <row r="14">
      <c r="A14" s="193" t="inlineStr">
        <is>
          <t>Manpower</t>
        </is>
      </c>
      <c r="B14" s="194" t="n">
        <v>1</v>
      </c>
      <c r="C14" s="194" t="inlineStr">
        <is>
          <t>LS</t>
        </is>
      </c>
      <c r="D14" s="196" t="n">
        <v>550</v>
      </c>
      <c r="E14" s="196">
        <f>D14</f>
        <v/>
      </c>
      <c r="F14" s="197" t="n"/>
      <c r="G14" s="200" t="n"/>
      <c r="H14" s="196">
        <f>D14*B14</f>
        <v/>
      </c>
    </row>
    <row r="15">
      <c r="A15" s="203" t="inlineStr">
        <is>
          <t>Billet Cost</t>
        </is>
      </c>
      <c r="B15" s="205">
        <f>Raipur!B15</f>
        <v/>
      </c>
      <c r="C15" s="204">
        <f>Raipur!C15</f>
        <v/>
      </c>
      <c r="D15" s="205" t="n"/>
      <c r="E15" s="205" t="n"/>
      <c r="F15" s="205" t="n"/>
      <c r="G15" s="205" t="n"/>
      <c r="H15" s="206">
        <f>SUM(H7:H14)</f>
        <v/>
      </c>
    </row>
    <row r="16">
      <c r="A16" s="208" t="inlineStr">
        <is>
          <t>Market price of Billet</t>
        </is>
      </c>
      <c r="B16" s="209" t="inlineStr">
        <is>
          <t>Market price of Billet</t>
        </is>
      </c>
      <c r="C16" s="209" t="n"/>
      <c r="D16" s="209" t="n"/>
      <c r="E16" s="209" t="n"/>
      <c r="F16" s="209" t="n"/>
      <c r="G16" s="209" t="n"/>
      <c r="H16" s="188">
        <f>44300-500</f>
        <v/>
      </c>
    </row>
    <row r="17">
      <c r="A17" s="203" t="inlineStr">
        <is>
          <t>Nett Margin</t>
        </is>
      </c>
      <c r="B17" s="205" t="inlineStr">
        <is>
          <t>Nett Margin</t>
        </is>
      </c>
      <c r="C17" s="205" t="n"/>
      <c r="D17" s="205" t="n"/>
      <c r="E17" s="205" t="n"/>
      <c r="F17" s="205" t="n"/>
      <c r="G17" s="205" t="n"/>
      <c r="H17" s="206">
        <f>H16-H15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19" t="n"/>
    </row>
    <row r="19">
      <c r="A19" s="213" t="inlineStr">
        <is>
          <t>Rolling Mill Cost</t>
        </is>
      </c>
      <c r="B19" s="213" t="inlineStr">
        <is>
          <t>Rolling Mill Cost</t>
        </is>
      </c>
      <c r="C19" s="213" t="inlineStr">
        <is>
          <t>Hot charging (own billet - direct rolling )</t>
        </is>
      </c>
      <c r="D19" s="213" t="n"/>
      <c r="E19" s="213" t="n"/>
      <c r="F19" s="213" t="n"/>
      <c r="G19" s="139" t="n"/>
      <c r="H19" s="139" t="n"/>
    </row>
    <row r="20">
      <c r="A20" s="180" t="inlineStr">
        <is>
          <t>Item</t>
        </is>
      </c>
      <c r="B20" s="180" t="inlineStr">
        <is>
          <t>Item</t>
        </is>
      </c>
      <c r="C20" s="180" t="inlineStr">
        <is>
          <t>Consumption</t>
        </is>
      </c>
      <c r="D20" s="180" t="inlineStr">
        <is>
          <t>Unit</t>
        </is>
      </c>
      <c r="E20" s="180" t="inlineStr">
        <is>
          <t>Rate</t>
        </is>
      </c>
      <c r="F20" s="180" t="inlineStr">
        <is>
          <t>Cost</t>
        </is>
      </c>
      <c r="G20" s="141" t="n"/>
      <c r="H20" s="141" t="n"/>
    </row>
    <row r="21">
      <c r="A21" s="186" t="inlineStr">
        <is>
          <t>Cost of Billet</t>
        </is>
      </c>
      <c r="B21" s="186" t="inlineStr">
        <is>
          <t>Cost of Billet</t>
        </is>
      </c>
      <c r="C21" s="202" t="n"/>
      <c r="D21" s="202" t="n"/>
      <c r="E21" s="202" t="n"/>
      <c r="F21" s="189">
        <f>H15</f>
        <v/>
      </c>
      <c r="G21" s="141" t="n"/>
      <c r="H21" s="141" t="n"/>
    </row>
    <row r="22">
      <c r="A22" s="193" t="inlineStr">
        <is>
          <t>Scale loss</t>
        </is>
      </c>
      <c r="B22" s="193" t="inlineStr">
        <is>
          <t>Scale loss</t>
        </is>
      </c>
      <c r="C22" s="200" t="n">
        <v>0.8</v>
      </c>
      <c r="D22" s="200" t="inlineStr">
        <is>
          <t>%</t>
        </is>
      </c>
      <c r="E22" s="196">
        <f>H15</f>
        <v/>
      </c>
      <c r="F22" s="196">
        <f>E22*C22/100</f>
        <v/>
      </c>
      <c r="G22" s="140" t="n"/>
      <c r="H22" s="140" t="n"/>
    </row>
    <row r="23">
      <c r="A23" s="186" t="inlineStr">
        <is>
          <t>Power</t>
        </is>
      </c>
      <c r="B23" s="186" t="inlineStr">
        <is>
          <t>Power</t>
        </is>
      </c>
      <c r="C23" s="202" t="n">
        <v>120</v>
      </c>
      <c r="D23" s="202" t="inlineStr">
        <is>
          <t>unit</t>
        </is>
      </c>
      <c r="E23" s="189" t="n">
        <v>6.5</v>
      </c>
      <c r="F23" s="189">
        <f>E23*C23</f>
        <v/>
      </c>
      <c r="G23" s="140" t="n"/>
      <c r="H23" s="140" t="n"/>
    </row>
    <row r="24">
      <c r="A24" s="193" t="inlineStr">
        <is>
          <t>Stores</t>
        </is>
      </c>
      <c r="B24" s="193" t="inlineStr">
        <is>
          <t>Stores</t>
        </is>
      </c>
      <c r="C24" s="200" t="n">
        <v>1</v>
      </c>
      <c r="D24" s="200" t="inlineStr">
        <is>
          <t>Rs/T</t>
        </is>
      </c>
      <c r="E24" s="196" t="n">
        <v>400</v>
      </c>
      <c r="F24" s="196">
        <f>E24*C24</f>
        <v/>
      </c>
      <c r="G24" s="140" t="n"/>
      <c r="H24" s="140" t="n"/>
    </row>
    <row r="25">
      <c r="A25" s="186" t="inlineStr">
        <is>
          <t>Manpower</t>
        </is>
      </c>
      <c r="B25" s="186" t="inlineStr">
        <is>
          <t>Manpower</t>
        </is>
      </c>
      <c r="C25" s="202" t="n">
        <v>1</v>
      </c>
      <c r="D25" s="202" t="inlineStr">
        <is>
          <t>Rs/T</t>
        </is>
      </c>
      <c r="E25" s="189" t="n">
        <v>700</v>
      </c>
      <c r="F25" s="189">
        <f>E25*C25</f>
        <v/>
      </c>
      <c r="G25" s="140" t="n"/>
      <c r="H25" s="140" t="n"/>
    </row>
    <row r="26">
      <c r="A26" s="193" t="inlineStr">
        <is>
          <t>Fuel cost</t>
        </is>
      </c>
      <c r="B26" s="193" t="inlineStr">
        <is>
          <t>Fuel cost</t>
        </is>
      </c>
      <c r="C26" s="200" t="n">
        <v>0</v>
      </c>
      <c r="D26" s="200" t="inlineStr">
        <is>
          <t>scm/t</t>
        </is>
      </c>
      <c r="E26" s="196" t="n">
        <v>47</v>
      </c>
      <c r="F26" s="196">
        <f>E26*C26</f>
        <v/>
      </c>
      <c r="G26" s="140" t="n"/>
      <c r="H26" s="140" t="n"/>
    </row>
    <row r="27">
      <c r="A27" s="186" t="inlineStr">
        <is>
          <t>Cutting loss</t>
        </is>
      </c>
      <c r="B27" s="186" t="inlineStr">
        <is>
          <t>Cutting loss</t>
        </is>
      </c>
      <c r="C27" s="202" t="n">
        <v>0</v>
      </c>
      <c r="D27" s="202" t="inlineStr">
        <is>
          <t>%</t>
        </is>
      </c>
      <c r="E27" s="189">
        <f>SUM(F21:F26)</f>
        <v/>
      </c>
      <c r="F27" s="189">
        <f>E27*C27/100</f>
        <v/>
      </c>
      <c r="G27" s="140" t="n"/>
      <c r="H27" s="140" t="n"/>
    </row>
    <row r="28">
      <c r="A28" s="217" t="inlineStr">
        <is>
          <t>Rolling cost</t>
        </is>
      </c>
      <c r="B28" s="217" t="inlineStr">
        <is>
          <t>Rolling cost</t>
        </is>
      </c>
      <c r="C28" s="218" t="n"/>
      <c r="D28" s="218" t="n"/>
      <c r="E28" s="218" t="n"/>
      <c r="F28" s="219">
        <f>SUM(F22:F27)</f>
        <v/>
      </c>
      <c r="G28" s="140" t="n"/>
      <c r="H28" s="140" t="n"/>
    </row>
    <row r="29">
      <c r="A29" s="186" t="inlineStr">
        <is>
          <t>Yield loss</t>
        </is>
      </c>
      <c r="B29" s="186" t="inlineStr">
        <is>
          <t>Yield loss</t>
        </is>
      </c>
      <c r="C29" s="202" t="n">
        <v>4.5</v>
      </c>
      <c r="D29" s="202" t="inlineStr">
        <is>
          <t>%</t>
        </is>
      </c>
      <c r="E29" s="189">
        <f>SUM(F21:F27)</f>
        <v/>
      </c>
      <c r="F29" s="189">
        <f>E29*C29/100</f>
        <v/>
      </c>
      <c r="G29" s="140" t="n"/>
      <c r="H29" s="140" t="n"/>
    </row>
    <row r="30">
      <c r="A30" s="193" t="inlineStr">
        <is>
          <t>Add back cost of scrap</t>
        </is>
      </c>
      <c r="B30" s="193" t="inlineStr">
        <is>
          <t>Add back cost of scrap</t>
        </is>
      </c>
      <c r="C30" s="200" t="n">
        <v>-45</v>
      </c>
      <c r="D30" s="200" t="inlineStr">
        <is>
          <t>kg</t>
        </is>
      </c>
      <c r="E30" s="196" t="n">
        <v>36</v>
      </c>
      <c r="F30" s="196">
        <f>E30*C30</f>
        <v/>
      </c>
      <c r="G30" s="140" t="n"/>
      <c r="H30" s="140" t="n"/>
    </row>
    <row r="31">
      <c r="A31" s="186" t="inlineStr">
        <is>
          <t>Short length realiz</t>
        </is>
      </c>
      <c r="B31" s="186" t="inlineStr">
        <is>
          <t>Short length realiz</t>
        </is>
      </c>
      <c r="C31" s="202" t="n">
        <v>-20</v>
      </c>
      <c r="D31" s="202" t="inlineStr">
        <is>
          <t>kg</t>
        </is>
      </c>
      <c r="E31" s="189" t="n">
        <v>43</v>
      </c>
      <c r="F31" s="189">
        <f>E31*C31</f>
        <v/>
      </c>
      <c r="G31" s="140" t="n"/>
      <c r="H31" s="140" t="n"/>
    </row>
    <row r="32">
      <c r="A32" s="193" t="inlineStr">
        <is>
          <t>Interest + Depreciation</t>
        </is>
      </c>
      <c r="B32" s="193" t="inlineStr">
        <is>
          <t>Interest + Depreciation</t>
        </is>
      </c>
      <c r="C32" s="200" t="inlineStr">
        <is>
          <t>LS</t>
        </is>
      </c>
      <c r="D32" s="200" t="inlineStr">
        <is>
          <t>Rs/T</t>
        </is>
      </c>
      <c r="E32" s="196" t="n">
        <v>500</v>
      </c>
      <c r="F32" s="196" t="n">
        <v>500</v>
      </c>
      <c r="G32" s="140" t="n"/>
      <c r="H32" s="140" t="n"/>
    </row>
    <row r="33">
      <c r="A33" s="203" t="inlineStr">
        <is>
          <t>Total cost</t>
        </is>
      </c>
      <c r="B33" s="205" t="inlineStr">
        <is>
          <t>Total cost</t>
        </is>
      </c>
      <c r="C33" s="205" t="n"/>
      <c r="D33" s="205" t="n"/>
      <c r="E33" s="205" t="n"/>
      <c r="F33" s="206">
        <f>H15+F28+F32</f>
        <v/>
      </c>
      <c r="G33" s="140" t="n"/>
      <c r="H33" s="140" t="n"/>
    </row>
    <row r="34">
      <c r="A34" s="208" t="inlineStr">
        <is>
          <t>Market price for TMT</t>
        </is>
      </c>
      <c r="B34" s="209" t="inlineStr">
        <is>
          <t>Market price for TMT</t>
        </is>
      </c>
      <c r="C34" s="209" t="n"/>
      <c r="D34" s="209" t="n"/>
      <c r="E34" s="209" t="n"/>
      <c r="F34" s="188" t="n">
        <v>50600</v>
      </c>
      <c r="G34" s="140" t="n"/>
      <c r="H34" s="140" t="n"/>
    </row>
    <row r="35">
      <c r="A35" s="203" t="inlineStr">
        <is>
          <t>Margin for mfr</t>
        </is>
      </c>
      <c r="B35" s="205" t="inlineStr">
        <is>
          <t>Margin for mfr</t>
        </is>
      </c>
      <c r="C35" s="205" t="n"/>
      <c r="D35" s="205" t="n"/>
      <c r="E35" s="205" t="n"/>
      <c r="F35" s="206">
        <f>F34-F33</f>
        <v/>
      </c>
      <c r="G35" s="143" t="n"/>
      <c r="H35" s="143" t="n"/>
    </row>
    <row r="37">
      <c r="F37" s="22" t="n"/>
    </row>
    <row r="38">
      <c r="F38" s="22" t="n"/>
    </row>
    <row r="39">
      <c r="F39" s="22" t="n"/>
    </row>
  </sheetData>
  <mergeCells count="2">
    <mergeCell ref="C19:F19"/>
    <mergeCell ref="B4:H4"/>
  </mergeCells>
  <pageMargins left="0.7" right="0.7" top="0.75" bottom="0.75" header="0.3" footer="0.3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Shubhenjit Chaudhuri</dc:creator>
  <dcterms:created xsi:type="dcterms:W3CDTF">2023-09-14T09:18:44Z</dcterms:created>
  <dcterms:modified xsi:type="dcterms:W3CDTF">2026-03-26T08:53:42Z</dcterms:modified>
  <cp:lastModifiedBy>Sumit Kumar</cp:lastModifiedBy>
  <cp:lastPrinted>2024-12-13T06:15:36Z</cp:lastPrinted>
</cp:coreProperties>
</file>